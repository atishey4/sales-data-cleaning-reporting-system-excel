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D:\IIT Delhi\Data Analyst Projects\Sales Data Cleaning &amp; Reporting System\dashboard\"/>
    </mc:Choice>
  </mc:AlternateContent>
  <xr:revisionPtr revIDLastSave="0" documentId="8_{1373D76F-D045-4CD9-B4CB-CDC2F85F13C8}" xr6:coauthVersionLast="47" xr6:coauthVersionMax="47" xr10:uidLastSave="{00000000-0000-0000-0000-000000000000}"/>
  <bookViews>
    <workbookView xWindow="2616" yWindow="2616" windowWidth="2208" windowHeight="1128" xr2:uid="{99E032D8-2338-4AD4-9613-DDB41AF61F4C}"/>
  </bookViews>
  <sheets>
    <sheet name="Dashboard" sheetId="5" r:id="rId1"/>
    <sheet name="Data" sheetId="1" r:id="rId2"/>
    <sheet name="RawData" sheetId="2" r:id="rId3"/>
    <sheet name="PivotData" sheetId="3" state="hidden" r:id="rId4"/>
    <sheet name="Calc" sheetId="4" r:id="rId5"/>
  </sheets>
  <definedNames>
    <definedName name="Slicer_Payment_Method">#N/A</definedName>
    <definedName name="Slicer_Product_Category">#N/A</definedName>
    <definedName name="Slicer_Region">#N/A</definedName>
    <definedName name="Slicer_Sales_Representative">#N/A</definedName>
  </definedNames>
  <calcPr calcId="181029"/>
  <pivotCaches>
    <pivotCache cacheId="1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5" l="1"/>
  <c r="K6" i="5"/>
  <c r="H6" i="5"/>
  <c r="E6" i="5"/>
  <c r="B6" i="5"/>
  <c r="B18" i="4"/>
  <c r="B17" i="4"/>
  <c r="B16" i="4"/>
  <c r="B15" i="4"/>
  <c r="B14" i="4"/>
  <c r="B13" i="4"/>
  <c r="B12" i="4"/>
  <c r="B11" i="4"/>
  <c r="B8" i="4"/>
  <c r="B7" i="4"/>
  <c r="B6" i="4"/>
  <c r="B5" i="4"/>
  <c r="B4" i="4"/>
  <c r="B3" i="4"/>
  <c r="B2" i="4"/>
</calcChain>
</file>

<file path=xl/sharedStrings.xml><?xml version="1.0" encoding="utf-8"?>
<sst xmlns="http://schemas.openxmlformats.org/spreadsheetml/2006/main" count="3316" uniqueCount="363">
  <si>
    <t>Order ID</t>
  </si>
  <si>
    <t>Customer ID</t>
  </si>
  <si>
    <t>Customer Name</t>
  </si>
  <si>
    <t>Order Date</t>
  </si>
  <si>
    <t>Order Month</t>
  </si>
  <si>
    <t>Region</t>
  </si>
  <si>
    <t>State</t>
  </si>
  <si>
    <t>Product Category</t>
  </si>
  <si>
    <t>Product Name</t>
  </si>
  <si>
    <t>Quantity Sold</t>
  </si>
  <si>
    <t>Unit Price</t>
  </si>
  <si>
    <t>Sales Amount</t>
  </si>
  <si>
    <t>Discount %</t>
  </si>
  <si>
    <t>Profit Amount</t>
  </si>
  <si>
    <t>Sales Representative</t>
  </si>
  <si>
    <t>Payment Method</t>
  </si>
  <si>
    <t>Delivery Status</t>
  </si>
  <si>
    <t>ORD1001</t>
  </si>
  <si>
    <t>CU022</t>
  </si>
  <si>
    <t>Dev Sharma</t>
  </si>
  <si>
    <t>2024-07</t>
  </si>
  <si>
    <t>East</t>
  </si>
  <si>
    <t>Odisha</t>
  </si>
  <si>
    <t>Sports</t>
  </si>
  <si>
    <t>Yoga Mat</t>
  </si>
  <si>
    <t>Rahul Verma</t>
  </si>
  <si>
    <t>Net Banking</t>
  </si>
  <si>
    <t>Delivered</t>
  </si>
  <si>
    <t>ORD1002</t>
  </si>
  <si>
    <t>CU010</t>
  </si>
  <si>
    <t>Diya Gupta</t>
  </si>
  <si>
    <t>2024-10</t>
  </si>
  <si>
    <t>West Bengal</t>
  </si>
  <si>
    <t>Home &amp; Kitchen</t>
  </si>
  <si>
    <t>Mixer Grinder</t>
  </si>
  <si>
    <t>Cash on Delivery</t>
  </si>
  <si>
    <t>ORD1003</t>
  </si>
  <si>
    <t>CU034</t>
  </si>
  <si>
    <t>Aarav Mehta</t>
  </si>
  <si>
    <t>Dumbbell Set</t>
  </si>
  <si>
    <t>Anita Desai</t>
  </si>
  <si>
    <t>Credit Card</t>
  </si>
  <si>
    <t>ORD1004</t>
  </si>
  <si>
    <t>CU015</t>
  </si>
  <si>
    <t>Riya Mehta</t>
  </si>
  <si>
    <t>2024-11</t>
  </si>
  <si>
    <t>South</t>
  </si>
  <si>
    <t>Kerala</t>
  </si>
  <si>
    <t>Electronics</t>
  </si>
  <si>
    <t>Smartphone</t>
  </si>
  <si>
    <t>ORD1005</t>
  </si>
  <si>
    <t>CU026</t>
  </si>
  <si>
    <t>Meera Verma</t>
  </si>
  <si>
    <t>Bihar</t>
  </si>
  <si>
    <t>Vikram Singh</t>
  </si>
  <si>
    <t>UPI</t>
  </si>
  <si>
    <t>ORD1006</t>
  </si>
  <si>
    <t>CU017</t>
  </si>
  <si>
    <t>Riya Gupta</t>
  </si>
  <si>
    <t>North</t>
  </si>
  <si>
    <t>Uttar Pradesh</t>
  </si>
  <si>
    <t>Non-Stick Cookware</t>
  </si>
  <si>
    <t>In Transit</t>
  </si>
  <si>
    <t>ORD1007</t>
  </si>
  <si>
    <t>CU005</t>
  </si>
  <si>
    <t>Arjun Gupta</t>
  </si>
  <si>
    <t>2024-09</t>
  </si>
  <si>
    <t>Debit Card</t>
  </si>
  <si>
    <t>Cancelled</t>
  </si>
  <si>
    <t>ORD1008</t>
  </si>
  <si>
    <t>CU029</t>
  </si>
  <si>
    <t>Tara Singh</t>
  </si>
  <si>
    <t>2024-12</t>
  </si>
  <si>
    <t>Telangana</t>
  </si>
  <si>
    <t>Fashion</t>
  </si>
  <si>
    <t>Denim Jeans</t>
  </si>
  <si>
    <t>Priya Nair</t>
  </si>
  <si>
    <t>ORD1009</t>
  </si>
  <si>
    <t>CU040</t>
  </si>
  <si>
    <t>Rohan Nair</t>
  </si>
  <si>
    <t>2024-06</t>
  </si>
  <si>
    <t>Assam</t>
  </si>
  <si>
    <t>Beauty</t>
  </si>
  <si>
    <t>Face Serum</t>
  </si>
  <si>
    <t>ORD1010</t>
  </si>
  <si>
    <t>CU036</t>
  </si>
  <si>
    <t>Aarav Gupta</t>
  </si>
  <si>
    <t>West</t>
  </si>
  <si>
    <t>Maharashtra</t>
  </si>
  <si>
    <t>Lipstick Set</t>
  </si>
  <si>
    <t>Amit Sharma</t>
  </si>
  <si>
    <t>Returned</t>
  </si>
  <si>
    <t>ORD1011</t>
  </si>
  <si>
    <t>Karnataka</t>
  </si>
  <si>
    <t>ORD1012</t>
  </si>
  <si>
    <t>CU002</t>
  </si>
  <si>
    <t>Karan Rao</t>
  </si>
  <si>
    <t>2024-04</t>
  </si>
  <si>
    <t>Perfume</t>
  </si>
  <si>
    <t>ORD1013</t>
  </si>
  <si>
    <t>Wireless Headphones</t>
  </si>
  <si>
    <t>ORD1014</t>
  </si>
  <si>
    <t>CU006</t>
  </si>
  <si>
    <t>Arjun Reddy</t>
  </si>
  <si>
    <t>2024-08</t>
  </si>
  <si>
    <t>Tamil Nadu</t>
  </si>
  <si>
    <t>ORD1015</t>
  </si>
  <si>
    <t>CU025</t>
  </si>
  <si>
    <t>Pooja Iyer</t>
  </si>
  <si>
    <t>Rajasthan</t>
  </si>
  <si>
    <t>ORD1016</t>
  </si>
  <si>
    <t>CU001</t>
  </si>
  <si>
    <t>Dev Nair</t>
  </si>
  <si>
    <t>2024-05</t>
  </si>
  <si>
    <t>ORD1017</t>
  </si>
  <si>
    <t>CU021</t>
  </si>
  <si>
    <t>Yash Gupta</t>
  </si>
  <si>
    <t>ORD1018</t>
  </si>
  <si>
    <t>2024-01</t>
  </si>
  <si>
    <t>ORD1019</t>
  </si>
  <si>
    <t>ORD1020</t>
  </si>
  <si>
    <t>CU033</t>
  </si>
  <si>
    <t>Riya Reddy</t>
  </si>
  <si>
    <t>ORD1021</t>
  </si>
  <si>
    <t>ORD1022</t>
  </si>
  <si>
    <t>CU019</t>
  </si>
  <si>
    <t>Tara Gupta</t>
  </si>
  <si>
    <t>ORD1023</t>
  </si>
  <si>
    <t>CU018</t>
  </si>
  <si>
    <t>Tara Joshi</t>
  </si>
  <si>
    <t>2024-02</t>
  </si>
  <si>
    <t>Delhi</t>
  </si>
  <si>
    <t>ORD1024</t>
  </si>
  <si>
    <t>CU008</t>
  </si>
  <si>
    <t>Neha Khan</t>
  </si>
  <si>
    <t>Cricket Bat</t>
  </si>
  <si>
    <t>ORD1025</t>
  </si>
  <si>
    <t>Goa</t>
  </si>
  <si>
    <t>LED Table Lamp</t>
  </si>
  <si>
    <t>Sneha Iyer</t>
  </si>
  <si>
    <t>ORD1026</t>
  </si>
  <si>
    <t>CU023</t>
  </si>
  <si>
    <t>Pooja Malhotra</t>
  </si>
  <si>
    <t>ORD1027</t>
  </si>
  <si>
    <t>ORD1028</t>
  </si>
  <si>
    <t>Cotton T-Shirt</t>
  </si>
  <si>
    <t>ORD1029</t>
  </si>
  <si>
    <t>CU014</t>
  </si>
  <si>
    <t>Sahil Verma</t>
  </si>
  <si>
    <t>Gujarat</t>
  </si>
  <si>
    <t>ORD1030</t>
  </si>
  <si>
    <t>CU039</t>
  </si>
  <si>
    <t>Aarav Singh</t>
  </si>
  <si>
    <t>ORD1031</t>
  </si>
  <si>
    <t>CU027</t>
  </si>
  <si>
    <t>Sahil Das</t>
  </si>
  <si>
    <t>ORD1032</t>
  </si>
  <si>
    <t>CU028</t>
  </si>
  <si>
    <t>Diya Malhotra</t>
  </si>
  <si>
    <t>ORD1033</t>
  </si>
  <si>
    <t>2024-03</t>
  </si>
  <si>
    <t>ORD1034</t>
  </si>
  <si>
    <t>ORD1035</t>
  </si>
  <si>
    <t>CU007</t>
  </si>
  <si>
    <t>Aarav Das</t>
  </si>
  <si>
    <t>ORD1036</t>
  </si>
  <si>
    <t>ORD1037</t>
  </si>
  <si>
    <t>ORD1038</t>
  </si>
  <si>
    <t>Punjab</t>
  </si>
  <si>
    <t>ORD1039</t>
  </si>
  <si>
    <t>ORD1040</t>
  </si>
  <si>
    <t>ORD1041</t>
  </si>
  <si>
    <t>CU031</t>
  </si>
  <si>
    <t>Isha Mehta</t>
  </si>
  <si>
    <t>Laptop</t>
  </si>
  <si>
    <t>ORD1042</t>
  </si>
  <si>
    <t>ORD1043</t>
  </si>
  <si>
    <t>ORD1044</t>
  </si>
  <si>
    <t>ORD1045</t>
  </si>
  <si>
    <t>ORD1046</t>
  </si>
  <si>
    <t>ORD1047</t>
  </si>
  <si>
    <t>ORD1048</t>
  </si>
  <si>
    <t>ORD1049</t>
  </si>
  <si>
    <t>Haryana</t>
  </si>
  <si>
    <t>ORD1050</t>
  </si>
  <si>
    <t>ORD1051</t>
  </si>
  <si>
    <t>ORD1052</t>
  </si>
  <si>
    <t>ORD1053</t>
  </si>
  <si>
    <t>ORD1054</t>
  </si>
  <si>
    <t>ORD1055</t>
  </si>
  <si>
    <t>CU032</t>
  </si>
  <si>
    <t>Rohan Das</t>
  </si>
  <si>
    <t>ORD1056</t>
  </si>
  <si>
    <t>ORD1057</t>
  </si>
  <si>
    <t>CU003</t>
  </si>
  <si>
    <t>Running Shoes</t>
  </si>
  <si>
    <t>ORD1058</t>
  </si>
  <si>
    <t>CU035</t>
  </si>
  <si>
    <t>Isha Das</t>
  </si>
  <si>
    <t>ORD1059</t>
  </si>
  <si>
    <t>ORD1060</t>
  </si>
  <si>
    <t>ORD1061</t>
  </si>
  <si>
    <t>ORD1062</t>
  </si>
  <si>
    <t>ORD1063</t>
  </si>
  <si>
    <t>CU004</t>
  </si>
  <si>
    <t>ORD1064</t>
  </si>
  <si>
    <t>ORD1065</t>
  </si>
  <si>
    <t>ORD1066</t>
  </si>
  <si>
    <t>CU038</t>
  </si>
  <si>
    <t>Pooja Singh</t>
  </si>
  <si>
    <t>ORD1067</t>
  </si>
  <si>
    <t>ORD1068</t>
  </si>
  <si>
    <t>ORD1069</t>
  </si>
  <si>
    <t>ORD1070</t>
  </si>
  <si>
    <t>ORD1071</t>
  </si>
  <si>
    <t>CU030</t>
  </si>
  <si>
    <t>Pooja Joshi</t>
  </si>
  <si>
    <t>ORD1072</t>
  </si>
  <si>
    <t>ORD1073</t>
  </si>
  <si>
    <t>ORD1074</t>
  </si>
  <si>
    <t>CU011</t>
  </si>
  <si>
    <t>ORD1075</t>
  </si>
  <si>
    <t>ORD1076</t>
  </si>
  <si>
    <t>ORD1077</t>
  </si>
  <si>
    <t>ORD1078</t>
  </si>
  <si>
    <t>CU012</t>
  </si>
  <si>
    <t>Karan Sharma</t>
  </si>
  <si>
    <t>ORD1079</t>
  </si>
  <si>
    <t>ORD1080</t>
  </si>
  <si>
    <t>ORD1081</t>
  </si>
  <si>
    <t>CU013</t>
  </si>
  <si>
    <t>ORD1082</t>
  </si>
  <si>
    <t>ORD1083</t>
  </si>
  <si>
    <t>ORD1084</t>
  </si>
  <si>
    <t>ORD1085</t>
  </si>
  <si>
    <t>ORD1086</t>
  </si>
  <si>
    <t>ORD1087</t>
  </si>
  <si>
    <t>ORD1088</t>
  </si>
  <si>
    <t>CU016</t>
  </si>
  <si>
    <t>Riya Sharma</t>
  </si>
  <si>
    <t>ORD1089</t>
  </si>
  <si>
    <t>ORD1090</t>
  </si>
  <si>
    <t>ORD1091</t>
  </si>
  <si>
    <t>ORD1092</t>
  </si>
  <si>
    <t>ORD1093</t>
  </si>
  <si>
    <t>ORD1094</t>
  </si>
  <si>
    <t>ORD1095</t>
  </si>
  <si>
    <t>CU024</t>
  </si>
  <si>
    <t>Sahil Khan</t>
  </si>
  <si>
    <t>ORD1096</t>
  </si>
  <si>
    <t>ORD1097</t>
  </si>
  <si>
    <t>ORD1098</t>
  </si>
  <si>
    <t>ORD1099</t>
  </si>
  <si>
    <t>ORD1100</t>
  </si>
  <si>
    <t>ORD1101</t>
  </si>
  <si>
    <t>ORD1102</t>
  </si>
  <si>
    <t>ORD1103</t>
  </si>
  <si>
    <t>ORD1104</t>
  </si>
  <si>
    <t>ORD1105</t>
  </si>
  <si>
    <t>ORD1106</t>
  </si>
  <si>
    <t>CU020</t>
  </si>
  <si>
    <t>Isha Iyer</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</si>
  <si>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</si>
  <si>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</si>
  <si>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</si>
  <si>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</si>
  <si>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</si>
  <si>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</si>
  <si>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</si>
  <si>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</si>
  <si>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</si>
  <si>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</si>
  <si>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</si>
  <si>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</si>
  <si>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</si>
  <si>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</si>
  <si>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</si>
  <si>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</si>
  <si>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</si>
  <si>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</si>
  <si>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</si>
  <si>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</si>
  <si>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</si>
  <si>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</si>
  <si>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CU009</t>
  </si>
  <si>
    <t>Isha Singh</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</si>
  <si>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</si>
  <si>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</si>
  <si>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</si>
  <si>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</si>
  <si>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</si>
  <si>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</si>
  <si>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</si>
  <si>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</si>
  <si>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</si>
  <si>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</si>
  <si>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</si>
  <si>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</si>
  <si>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</si>
  <si>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</si>
  <si>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</si>
  <si>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</si>
  <si>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</si>
  <si>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</si>
  <si>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</si>
  <si>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</si>
  <si>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</si>
  <si>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</si>
  <si>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Home&amp;Kitchen</t>
  </si>
  <si>
    <t>Sport</t>
  </si>
  <si>
    <t>Electronicss</t>
  </si>
  <si>
    <t>14-07-2024</t>
  </si>
  <si>
    <t>fashion</t>
  </si>
  <si>
    <t>16-12-2024</t>
  </si>
  <si>
    <t>BEAUTY</t>
  </si>
  <si>
    <t>13-08-2024</t>
  </si>
  <si>
    <t>15-07-2024</t>
  </si>
  <si>
    <t>31-10-2024</t>
  </si>
  <si>
    <t>31-08-2024</t>
  </si>
  <si>
    <t>17-05-2024</t>
  </si>
  <si>
    <t>24-03-2024</t>
  </si>
  <si>
    <t>16-10-2024</t>
  </si>
  <si>
    <t>28-03-2024</t>
  </si>
  <si>
    <t>26-01-2024</t>
  </si>
  <si>
    <t>19-11-2024</t>
  </si>
  <si>
    <t>26-10-2024</t>
  </si>
  <si>
    <t>23-05-2024</t>
  </si>
  <si>
    <t>22-02-2024</t>
  </si>
  <si>
    <t>20-04-2024</t>
  </si>
  <si>
    <t>22-06-2024</t>
  </si>
  <si>
    <t>28-01-2024</t>
  </si>
  <si>
    <t>24-07-2024</t>
  </si>
  <si>
    <t>19-04-2024</t>
  </si>
  <si>
    <t>14-09-2024</t>
  </si>
  <si>
    <t>ORD9001</t>
  </si>
  <si>
    <t>ORD9002</t>
  </si>
  <si>
    <t>Row Labels</t>
  </si>
  <si>
    <t>Grand Total</t>
  </si>
  <si>
    <t>Sales</t>
  </si>
  <si>
    <t>Orders</t>
  </si>
  <si>
    <t>REPORTING KPIs</t>
  </si>
  <si>
    <t>Total Sales</t>
  </si>
  <si>
    <t>Total Profit</t>
  </si>
  <si>
    <t>Profit Margin %</t>
  </si>
  <si>
    <t>Total Orders</t>
  </si>
  <si>
    <t>Total Customers</t>
  </si>
  <si>
    <t>Avg Order Value</t>
  </si>
  <si>
    <t>Total Quantity</t>
  </si>
  <si>
    <t>DATA QUALITY (Raw vs Clean)</t>
  </si>
  <si>
    <t>Raw Records</t>
  </si>
  <si>
    <t>Clean Records</t>
  </si>
  <si>
    <t>Duplicate Order IDs</t>
  </si>
  <si>
    <t>Missing Profit</t>
  </si>
  <si>
    <t>Missing Sales Rep</t>
  </si>
  <si>
    <t>Missing Delivery</t>
  </si>
  <si>
    <t>Outliers (Qty&gt;100)</t>
  </si>
  <si>
    <t>Invalid (Price&lt;=0)</t>
  </si>
  <si>
    <t>SALES DATA CLEANING &amp; REPORTING SYSTEM</t>
  </si>
  <si>
    <t>TOTAL SALES</t>
  </si>
  <si>
    <t>TOTAL PROFIT</t>
  </si>
  <si>
    <t>PROFIT MARGIN</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</si>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</sst>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9" x14ac:knownFonts="1">
    <font>
      <sz val="11"/>
      <color theme="1"/>
      <name val="Calibri"/>
      <family val="2"/>
      <scheme val="minor"/>
    </font>
    <font>
      <b/>
      <sz val="11"/>
      <color theme="1"/>
      <name val="Calibri"/>
      <family val="2"/>
      <scheme val="minor"/>
    </font>
    <font>
      <b/>
      <sz val="20"/>
      <color rgb="FFFFFFFF"/>
      <name val="Calibri"/>
      <family val="2"/>
      <scheme val="minor"/>
    </font>
    <font>
      <b/>
      <sz val="9"/>
      <color rgb="FFFFFFFF"/>
      <name val="Calibri"/>
      <family val="2"/>
      <scheme val="minor"/>
    </font>
    <font>
      <b/>
      <sz val="18"/>
      <color rgb="FF373160"/>
      <name val="Calibri"/>
      <family val="2"/>
      <scheme val="minor"/>
    </font>
    <font>
      <b/>
      <sz val="18"/>
      <color rgb="FF40A12E"/>
      <name val="Calibri"/>
      <family val="2"/>
      <scheme val="minor"/>
    </font>
    <font>
      <b/>
      <sz val="18"/>
      <color rgb="FF0A5C2A"/>
      <name val="Calibri"/>
      <family val="2"/>
      <scheme val="minor"/>
    </font>
    <font>
      <b/>
      <sz val="18"/>
      <color rgb="FF7030A0"/>
      <name val="Calibri"/>
      <family val="2"/>
      <scheme val="minor"/>
    </font>
    <font>
      <b/>
      <sz val="18"/>
      <color rgb="FFA79010"/>
      <name val="Calibri"/>
      <family val="2"/>
      <scheme val="minor"/>
    </font>
  </fonts>
  <fills count="7">
    <fill>
      <patternFill patternType="none"/>
    </fill>
    <fill>
      <patternFill patternType="gray125"/>
    </fill>
    <fill>
      <patternFill patternType="solid">
        <fgColor rgb="FF373160"/>
        <bgColor indexed="64"/>
      </patternFill>
    </fill>
    <fill>
      <patternFill patternType="solid">
        <fgColor rgb="FF40A12E"/>
        <bgColor indexed="64"/>
      </patternFill>
    </fill>
    <fill>
      <patternFill patternType="solid">
        <fgColor rgb="FF0A5C2A"/>
        <bgColor indexed="64"/>
      </patternFill>
    </fill>
    <fill>
      <patternFill patternType="solid">
        <fgColor rgb="FF7030A0"/>
        <bgColor indexed="64"/>
      </patternFill>
    </fill>
    <fill>
      <patternFill patternType="solid">
        <fgColor rgb="FFA79010"/>
        <bgColor indexed="64"/>
      </patternFill>
    </fill>
  </fills>
  <borders count="1">
    <border>
      <left/>
      <right/>
      <top/>
      <bottom/>
      <diagonal/>
    </border>
  </borders>
  <cellStyleXfs count="1">
    <xf numFmtId="0" fontId="0" fillId="0" borderId="0"/>
  </cellStyleXfs>
  <cellXfs count="23">
    <xf numFmtId="0" fontId="0" fillId="0" borderId="0" xfId="0"/>
    <xf numFmtId="164" fontId="0" fillId="0" borderId="0" xfId="0" applyNumberFormat="1"/>
    <xf numFmtId="3" fontId="0" fillId="0" borderId="0" xfId="0" applyNumberFormat="1"/>
    <xf numFmtId="165" fontId="0" fillId="0" borderId="0" xfId="0" applyNumberFormat="1"/>
    <xf numFmtId="14" fontId="0" fillId="0" borderId="0" xfId="0" applyNumberFormat="1"/>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0" borderId="0" xfId="0"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3" fillId="2" borderId="0" xfId="0" applyFont="1" applyFill="1" applyAlignment="1">
      <alignment horizontal="center"/>
    </xf>
    <xf numFmtId="3" fontId="4" fillId="0" borderId="0" xfId="0" applyNumberFormat="1" applyFont="1" applyAlignment="1">
      <alignment horizontal="center" vertical="center"/>
    </xf>
    <xf numFmtId="0" fontId="3" fillId="3" borderId="0" xfId="0" applyFont="1" applyFill="1" applyAlignment="1">
      <alignment horizontal="center"/>
    </xf>
    <xf numFmtId="3" fontId="5" fillId="0" borderId="0" xfId="0" applyNumberFormat="1" applyFont="1" applyAlignment="1">
      <alignment horizontal="center" vertical="center"/>
    </xf>
    <xf numFmtId="0" fontId="3" fillId="4" borderId="0" xfId="0" applyFont="1" applyFill="1" applyAlignment="1">
      <alignment horizontal="center"/>
    </xf>
    <xf numFmtId="165" fontId="6" fillId="0" borderId="0" xfId="0" applyNumberFormat="1" applyFont="1" applyAlignment="1">
      <alignment horizontal="center" vertical="center"/>
    </xf>
    <xf numFmtId="0" fontId="3" fillId="5" borderId="0" xfId="0" applyFont="1" applyFill="1" applyAlignment="1">
      <alignment horizontal="center"/>
    </xf>
    <xf numFmtId="3" fontId="7" fillId="0" borderId="0" xfId="0" applyNumberFormat="1" applyFont="1" applyAlignment="1">
      <alignment horizontal="center" vertical="center"/>
    </xf>
    <xf numFmtId="0" fontId="3" fillId="6" borderId="0" xfId="0" applyFont="1" applyFill="1" applyAlignment="1">
      <alignment horizontal="center"/>
    </xf>
    <xf numFmtId="3" fontId="8" fillId="0" borderId="0" xfId="0" applyNumberFormat="1" applyFont="1" applyAlignment="1">
      <alignment horizontal="center" vertical="center"/>
    </xf>
  </cellXfs>
  <cellStyles count="1">
    <cellStyle name="Normal" xfId="0" builtinId="0"/>
  </cellStyles>
  <dxfs count="6">
    <dxf>
      <numFmt numFmtId="20" formatCode="dd/mmm/yy"/>
    </dxf>
    <dxf>
      <numFmt numFmtId="3" formatCode="#,##0"/>
    </dxf>
    <dxf>
      <numFmt numFmtId="165" formatCode="0.0%"/>
    </dxf>
    <dxf>
      <numFmt numFmtId="3" formatCode="#,##0"/>
    </dxf>
    <dxf>
      <numFmt numFmtId="3" formatCode="#,##0"/>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&amp; Reporting System.xlsx]PivotData!ptRegion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PivotData!$B$1</c:f>
              <c:strCache>
                <c:ptCount val="1"/>
                <c:pt idx="0">
                  <c:v>Total</c:v>
                </c:pt>
              </c:strCache>
            </c:strRef>
          </c:tx>
          <c:spPr>
            <a:solidFill>
              <a:schemeClr val="accent1"/>
            </a:solidFill>
            <a:ln>
              <a:noFill/>
            </a:ln>
            <a:effectLst/>
          </c:spPr>
          <c:invertIfNegative val="0"/>
          <c:cat>
            <c:strRef>
              <c:f>PivotData!$A$2:$A$6</c:f>
              <c:strCache>
                <c:ptCount val="4"/>
                <c:pt idx="0">
                  <c:v>East</c:v>
                </c:pt>
                <c:pt idx="1">
                  <c:v>North</c:v>
                </c:pt>
                <c:pt idx="2">
                  <c:v>South</c:v>
                </c:pt>
                <c:pt idx="3">
                  <c:v>West</c:v>
                </c:pt>
              </c:strCache>
            </c:strRef>
          </c:cat>
          <c:val>
            <c:numRef>
              <c:f>PivotData!$B$2:$B$6</c:f>
              <c:numCache>
                <c:formatCode>General</c:formatCode>
                <c:ptCount val="4"/>
                <c:pt idx="0">
                  <c:v>518968.1</c:v>
                </c:pt>
                <c:pt idx="1">
                  <c:v>459974.2</c:v>
                </c:pt>
                <c:pt idx="2">
                  <c:v>706767.39999999991</c:v>
                </c:pt>
                <c:pt idx="3">
                  <c:v>892165.55</c:v>
                </c:pt>
              </c:numCache>
            </c:numRef>
          </c:val>
          <c:extLst>
            <c:ext xmlns:c16="http://schemas.microsoft.com/office/drawing/2014/chart" uri="{C3380CC4-5D6E-409C-BE32-E72D297353CC}">
              <c16:uniqueId val="{00000002-6B79-4EDD-859D-42F74378474B}"/>
            </c:ext>
          </c:extLst>
        </c:ser>
        <c:dLbls>
          <c:showLegendKey val="0"/>
          <c:showVal val="0"/>
          <c:showCatName val="0"/>
          <c:showSerName val="0"/>
          <c:showPercent val="0"/>
          <c:showBubbleSize val="0"/>
        </c:dLbls>
        <c:gapWidth val="219"/>
        <c:overlap val="-27"/>
        <c:axId val="1335763887"/>
        <c:axId val="1333440095"/>
      </c:barChart>
      <c:catAx>
        <c:axId val="133576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40095"/>
        <c:crosses val="autoZero"/>
        <c:auto val="1"/>
        <c:lblAlgn val="ctr"/>
        <c:lblOffset val="100"/>
        <c:noMultiLvlLbl val="0"/>
      </c:catAx>
      <c:valAx>
        <c:axId val="133344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6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&amp; Reporting System.xlsx]PivotData!ptCat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PivotData!$F$1</c:f>
              <c:strCache>
                <c:ptCount val="1"/>
                <c:pt idx="0">
                  <c:v>Total</c:v>
                </c:pt>
              </c:strCache>
            </c:strRef>
          </c:tx>
          <c:spPr>
            <a:solidFill>
              <a:schemeClr val="accent1"/>
            </a:solidFill>
            <a:ln>
              <a:noFill/>
            </a:ln>
            <a:effectLst/>
          </c:spPr>
          <c:invertIfNegative val="0"/>
          <c:cat>
            <c:strRef>
              <c:f>PivotData!$E$2:$E$7</c:f>
              <c:strCache>
                <c:ptCount val="5"/>
                <c:pt idx="0">
                  <c:v>Beauty</c:v>
                </c:pt>
                <c:pt idx="1">
                  <c:v>Electronics</c:v>
                </c:pt>
                <c:pt idx="2">
                  <c:v>Fashion</c:v>
                </c:pt>
                <c:pt idx="3">
                  <c:v>Home &amp; Kitchen</c:v>
                </c:pt>
                <c:pt idx="4">
                  <c:v>Sports</c:v>
                </c:pt>
              </c:strCache>
            </c:strRef>
          </c:cat>
          <c:val>
            <c:numRef>
              <c:f>PivotData!$F$2:$F$7</c:f>
              <c:numCache>
                <c:formatCode>General</c:formatCode>
                <c:ptCount val="5"/>
                <c:pt idx="0">
                  <c:v>94750</c:v>
                </c:pt>
                <c:pt idx="1">
                  <c:v>2016300</c:v>
                </c:pt>
                <c:pt idx="2">
                  <c:v>102417.74999999999</c:v>
                </c:pt>
                <c:pt idx="3">
                  <c:v>183432.5</c:v>
                </c:pt>
                <c:pt idx="4">
                  <c:v>180975</c:v>
                </c:pt>
              </c:numCache>
            </c:numRef>
          </c:val>
          <c:extLst>
            <c:ext xmlns:c16="http://schemas.microsoft.com/office/drawing/2014/chart" uri="{C3380CC4-5D6E-409C-BE32-E72D297353CC}">
              <c16:uniqueId val="{00000002-2349-4F6B-ADF4-8667FB828F22}"/>
            </c:ext>
          </c:extLst>
        </c:ser>
        <c:dLbls>
          <c:showLegendKey val="0"/>
          <c:showVal val="0"/>
          <c:showCatName val="0"/>
          <c:showSerName val="0"/>
          <c:showPercent val="0"/>
          <c:showBubbleSize val="0"/>
        </c:dLbls>
        <c:gapWidth val="182"/>
        <c:axId val="1335778735"/>
        <c:axId val="1335650527"/>
      </c:barChart>
      <c:catAx>
        <c:axId val="133577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50527"/>
        <c:crosses val="autoZero"/>
        <c:auto val="1"/>
        <c:lblAlgn val="ctr"/>
        <c:lblOffset val="100"/>
        <c:noMultiLvlLbl val="0"/>
      </c:catAx>
      <c:valAx>
        <c:axId val="1335650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7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&amp; Reporting System.xlsx]PivotData!ptRep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PivotData!$J$1</c:f>
              <c:strCache>
                <c:ptCount val="1"/>
                <c:pt idx="0">
                  <c:v>Total</c:v>
                </c:pt>
              </c:strCache>
            </c:strRef>
          </c:tx>
          <c:spPr>
            <a:solidFill>
              <a:schemeClr val="accent1"/>
            </a:solidFill>
            <a:ln>
              <a:noFill/>
            </a:ln>
            <a:effectLst/>
          </c:spPr>
          <c:invertIfNegative val="0"/>
          <c:cat>
            <c:strRef>
              <c:f>PivotData!$I$2:$I$8</c:f>
              <c:strCache>
                <c:ptCount val="6"/>
                <c:pt idx="0">
                  <c:v>Amit Sharma</c:v>
                </c:pt>
                <c:pt idx="1">
                  <c:v>Anita Desai</c:v>
                </c:pt>
                <c:pt idx="2">
                  <c:v>Priya Nair</c:v>
                </c:pt>
                <c:pt idx="3">
                  <c:v>Rahul Verma</c:v>
                </c:pt>
                <c:pt idx="4">
                  <c:v>Sneha Iyer</c:v>
                </c:pt>
                <c:pt idx="5">
                  <c:v>Vikram Singh</c:v>
                </c:pt>
              </c:strCache>
            </c:strRef>
          </c:cat>
          <c:val>
            <c:numRef>
              <c:f>PivotData!$J$2:$J$8</c:f>
              <c:numCache>
                <c:formatCode>General</c:formatCode>
                <c:ptCount val="6"/>
                <c:pt idx="0">
                  <c:v>393221.6</c:v>
                </c:pt>
                <c:pt idx="1">
                  <c:v>996576.55</c:v>
                </c:pt>
                <c:pt idx="2">
                  <c:v>243318.39999999999</c:v>
                </c:pt>
                <c:pt idx="3">
                  <c:v>409436</c:v>
                </c:pt>
                <c:pt idx="4">
                  <c:v>265323.5</c:v>
                </c:pt>
                <c:pt idx="5">
                  <c:v>269999.2</c:v>
                </c:pt>
              </c:numCache>
            </c:numRef>
          </c:val>
          <c:extLst>
            <c:ext xmlns:c16="http://schemas.microsoft.com/office/drawing/2014/chart" uri="{C3380CC4-5D6E-409C-BE32-E72D297353CC}">
              <c16:uniqueId val="{00000002-5A85-400B-BCB1-20D5C2C8E571}"/>
            </c:ext>
          </c:extLst>
        </c:ser>
        <c:dLbls>
          <c:showLegendKey val="0"/>
          <c:showVal val="0"/>
          <c:showCatName val="0"/>
          <c:showSerName val="0"/>
          <c:showPercent val="0"/>
          <c:showBubbleSize val="0"/>
        </c:dLbls>
        <c:gapWidth val="182"/>
        <c:axId val="1335782447"/>
        <c:axId val="1335652927"/>
      </c:barChart>
      <c:catAx>
        <c:axId val="133578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52927"/>
        <c:crosses val="autoZero"/>
        <c:auto val="1"/>
        <c:lblAlgn val="ctr"/>
        <c:lblOffset val="100"/>
        <c:noMultiLvlLbl val="0"/>
      </c:catAx>
      <c:valAx>
        <c:axId val="1335652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8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&amp; Reporting System.xlsx]PivotData!ptMonth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PivotData!$R$1</c:f>
              <c:strCache>
                <c:ptCount val="1"/>
                <c:pt idx="0">
                  <c:v>Total</c:v>
                </c:pt>
              </c:strCache>
            </c:strRef>
          </c:tx>
          <c:spPr>
            <a:ln w="28575" cap="rnd">
              <a:solidFill>
                <a:schemeClr val="accent1"/>
              </a:solidFill>
              <a:round/>
            </a:ln>
            <a:effectLst/>
          </c:spPr>
          <c:marker>
            <c:symbol val="none"/>
          </c:marker>
          <c:cat>
            <c:strRef>
              <c:f>PivotData!$Q$2:$Q$14</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PivotData!$R$2:$R$14</c:f>
              <c:numCache>
                <c:formatCode>General</c:formatCode>
                <c:ptCount val="12"/>
                <c:pt idx="0">
                  <c:v>37059.199999999997</c:v>
                </c:pt>
                <c:pt idx="1">
                  <c:v>142290</c:v>
                </c:pt>
                <c:pt idx="2">
                  <c:v>424020</c:v>
                </c:pt>
                <c:pt idx="3">
                  <c:v>263810</c:v>
                </c:pt>
                <c:pt idx="4">
                  <c:v>266286</c:v>
                </c:pt>
                <c:pt idx="5">
                  <c:v>79345.55</c:v>
                </c:pt>
                <c:pt idx="6">
                  <c:v>325314.09999999998</c:v>
                </c:pt>
                <c:pt idx="7">
                  <c:v>222622.9</c:v>
                </c:pt>
                <c:pt idx="8">
                  <c:v>159541.5</c:v>
                </c:pt>
                <c:pt idx="9">
                  <c:v>74948.5</c:v>
                </c:pt>
                <c:pt idx="10">
                  <c:v>246335</c:v>
                </c:pt>
                <c:pt idx="11">
                  <c:v>336302.5</c:v>
                </c:pt>
              </c:numCache>
            </c:numRef>
          </c:val>
          <c:smooth val="0"/>
          <c:extLst>
            <c:ext xmlns:c16="http://schemas.microsoft.com/office/drawing/2014/chart" uri="{C3380CC4-5D6E-409C-BE32-E72D297353CC}">
              <c16:uniqueId val="{00000002-54A3-4D43-AC54-20FE2A3B0BD3}"/>
            </c:ext>
          </c:extLst>
        </c:ser>
        <c:dLbls>
          <c:showLegendKey val="0"/>
          <c:showVal val="0"/>
          <c:showCatName val="0"/>
          <c:showSerName val="0"/>
          <c:showPercent val="0"/>
          <c:showBubbleSize val="0"/>
        </c:dLbls>
        <c:smooth val="0"/>
        <c:axId val="1335784303"/>
        <c:axId val="1335655807"/>
      </c:lineChart>
      <c:catAx>
        <c:axId val="133578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55807"/>
        <c:crosses val="autoZero"/>
        <c:auto val="1"/>
        <c:lblAlgn val="ctr"/>
        <c:lblOffset val="100"/>
        <c:noMultiLvlLbl val="0"/>
      </c:catAx>
      <c:valAx>
        <c:axId val="133565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8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Cleaning &amp; Reporting System.xlsx]PivotData!ptDeliv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by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PivotData!$N$1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PivotData!$M$2:$M$6</c:f>
              <c:strCache>
                <c:ptCount val="4"/>
                <c:pt idx="0">
                  <c:v>Cancelled</c:v>
                </c:pt>
                <c:pt idx="1">
                  <c:v>Delivered</c:v>
                </c:pt>
                <c:pt idx="2">
                  <c:v>In Transit</c:v>
                </c:pt>
                <c:pt idx="3">
                  <c:v>Returned</c:v>
                </c:pt>
              </c:strCache>
            </c:strRef>
          </c:cat>
          <c:val>
            <c:numRef>
              <c:f>PivotData!$N$2:$N$6</c:f>
              <c:numCache>
                <c:formatCode>General</c:formatCode>
                <c:ptCount val="4"/>
                <c:pt idx="0">
                  <c:v>15</c:v>
                </c:pt>
                <c:pt idx="1">
                  <c:v>95</c:v>
                </c:pt>
                <c:pt idx="2">
                  <c:v>16</c:v>
                </c:pt>
                <c:pt idx="3">
                  <c:v>24</c:v>
                </c:pt>
              </c:numCache>
            </c:numRef>
          </c:val>
          <c:extLst>
            <c:ext xmlns:c16="http://schemas.microsoft.com/office/drawing/2014/chart" uri="{C3380CC4-5D6E-409C-BE32-E72D297353CC}">
              <c16:uniqueId val="{00000002-3FB7-4BFA-AFDB-F527EAB20F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Data Quality Issues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Calc!$A$13</c:f>
              <c:strCache>
                <c:ptCount val="1"/>
                <c:pt idx="0">
                  <c:v>Duplicate Order IDs</c:v>
                </c:pt>
              </c:strCache>
            </c:strRef>
          </c:tx>
          <c:spPr>
            <a:solidFill>
              <a:schemeClr val="accent1"/>
            </a:solidFill>
            <a:ln>
              <a:noFill/>
            </a:ln>
            <a:effectLst/>
          </c:spPr>
          <c:invertIfNegative val="0"/>
          <c:val>
            <c:numRef>
              <c:f>Calc!$B$13</c:f>
              <c:numCache>
                <c:formatCode>#,##0</c:formatCode>
                <c:ptCount val="1"/>
                <c:pt idx="0">
                  <c:v>5</c:v>
                </c:pt>
              </c:numCache>
            </c:numRef>
          </c:val>
          <c:extLst>
            <c:ext xmlns:c16="http://schemas.microsoft.com/office/drawing/2014/chart" uri="{C3380CC4-5D6E-409C-BE32-E72D297353CC}">
              <c16:uniqueId val="{00000000-BD1D-474E-A151-EF79D50693E4}"/>
            </c:ext>
          </c:extLst>
        </c:ser>
        <c:ser>
          <c:idx val="1"/>
          <c:order val="1"/>
          <c:tx>
            <c:strRef>
              <c:f>Calc!$A$14</c:f>
              <c:strCache>
                <c:ptCount val="1"/>
                <c:pt idx="0">
                  <c:v>Missing Profit</c:v>
                </c:pt>
              </c:strCache>
            </c:strRef>
          </c:tx>
          <c:spPr>
            <a:solidFill>
              <a:schemeClr val="accent2"/>
            </a:solidFill>
            <a:ln>
              <a:noFill/>
            </a:ln>
            <a:effectLst/>
          </c:spPr>
          <c:invertIfNegative val="0"/>
          <c:val>
            <c:numRef>
              <c:f>Calc!$B$14</c:f>
              <c:numCache>
                <c:formatCode>#,##0</c:formatCode>
                <c:ptCount val="1"/>
                <c:pt idx="0">
                  <c:v>16</c:v>
                </c:pt>
              </c:numCache>
            </c:numRef>
          </c:val>
          <c:extLst>
            <c:ext xmlns:c16="http://schemas.microsoft.com/office/drawing/2014/chart" uri="{C3380CC4-5D6E-409C-BE32-E72D297353CC}">
              <c16:uniqueId val="{00000001-BD1D-474E-A151-EF79D50693E4}"/>
            </c:ext>
          </c:extLst>
        </c:ser>
        <c:ser>
          <c:idx val="2"/>
          <c:order val="2"/>
          <c:tx>
            <c:strRef>
              <c:f>Calc!$A$15</c:f>
              <c:strCache>
                <c:ptCount val="1"/>
                <c:pt idx="0">
                  <c:v>Missing Sales Rep</c:v>
                </c:pt>
              </c:strCache>
            </c:strRef>
          </c:tx>
          <c:spPr>
            <a:solidFill>
              <a:schemeClr val="accent3"/>
            </a:solidFill>
            <a:ln>
              <a:noFill/>
            </a:ln>
            <a:effectLst/>
          </c:spPr>
          <c:invertIfNegative val="0"/>
          <c:val>
            <c:numRef>
              <c:f>Calc!$B$15</c:f>
              <c:numCache>
                <c:formatCode>#,##0</c:formatCode>
                <c:ptCount val="1"/>
                <c:pt idx="0">
                  <c:v>18</c:v>
                </c:pt>
              </c:numCache>
            </c:numRef>
          </c:val>
          <c:extLst>
            <c:ext xmlns:c16="http://schemas.microsoft.com/office/drawing/2014/chart" uri="{C3380CC4-5D6E-409C-BE32-E72D297353CC}">
              <c16:uniqueId val="{00000002-BD1D-474E-A151-EF79D50693E4}"/>
            </c:ext>
          </c:extLst>
        </c:ser>
        <c:ser>
          <c:idx val="3"/>
          <c:order val="3"/>
          <c:tx>
            <c:strRef>
              <c:f>Calc!$A$16</c:f>
              <c:strCache>
                <c:ptCount val="1"/>
                <c:pt idx="0">
                  <c:v>Missing Delivery</c:v>
                </c:pt>
              </c:strCache>
            </c:strRef>
          </c:tx>
          <c:spPr>
            <a:solidFill>
              <a:schemeClr val="accent4"/>
            </a:solidFill>
            <a:ln>
              <a:noFill/>
            </a:ln>
            <a:effectLst/>
          </c:spPr>
          <c:invertIfNegative val="0"/>
          <c:val>
            <c:numRef>
              <c:f>Calc!$B$16</c:f>
              <c:numCache>
                <c:formatCode>#,##0</c:formatCode>
                <c:ptCount val="1"/>
                <c:pt idx="0">
                  <c:v>10</c:v>
                </c:pt>
              </c:numCache>
            </c:numRef>
          </c:val>
          <c:extLst>
            <c:ext xmlns:c16="http://schemas.microsoft.com/office/drawing/2014/chart" uri="{C3380CC4-5D6E-409C-BE32-E72D297353CC}">
              <c16:uniqueId val="{00000003-BD1D-474E-A151-EF79D50693E4}"/>
            </c:ext>
          </c:extLst>
        </c:ser>
        <c:ser>
          <c:idx val="4"/>
          <c:order val="4"/>
          <c:tx>
            <c:strRef>
              <c:f>Calc!$A$17</c:f>
              <c:strCache>
                <c:ptCount val="1"/>
                <c:pt idx="0">
                  <c:v>Outliers (Qty&gt;100)</c:v>
                </c:pt>
              </c:strCache>
            </c:strRef>
          </c:tx>
          <c:spPr>
            <a:solidFill>
              <a:schemeClr val="accent5"/>
            </a:solidFill>
            <a:ln>
              <a:noFill/>
            </a:ln>
            <a:effectLst/>
          </c:spPr>
          <c:invertIfNegative val="0"/>
          <c:val>
            <c:numRef>
              <c:f>Calc!$B$17</c:f>
              <c:numCache>
                <c:formatCode>#,##0</c:formatCode>
                <c:ptCount val="1"/>
                <c:pt idx="0">
                  <c:v>1</c:v>
                </c:pt>
              </c:numCache>
            </c:numRef>
          </c:val>
          <c:extLst>
            <c:ext xmlns:c16="http://schemas.microsoft.com/office/drawing/2014/chart" uri="{C3380CC4-5D6E-409C-BE32-E72D297353CC}">
              <c16:uniqueId val="{00000004-BD1D-474E-A151-EF79D50693E4}"/>
            </c:ext>
          </c:extLst>
        </c:ser>
        <c:ser>
          <c:idx val="5"/>
          <c:order val="5"/>
          <c:tx>
            <c:strRef>
              <c:f>Calc!$A$18</c:f>
              <c:strCache>
                <c:ptCount val="1"/>
                <c:pt idx="0">
                  <c:v>Invalid (Price&lt;=0)</c:v>
                </c:pt>
              </c:strCache>
            </c:strRef>
          </c:tx>
          <c:spPr>
            <a:solidFill>
              <a:schemeClr val="accent6"/>
            </a:solidFill>
            <a:ln>
              <a:noFill/>
            </a:ln>
            <a:effectLst/>
          </c:spPr>
          <c:invertIfNegative val="0"/>
          <c:val>
            <c:numRef>
              <c:f>Calc!$B$18</c:f>
              <c:numCache>
                <c:formatCode>#,##0</c:formatCode>
                <c:ptCount val="1"/>
                <c:pt idx="0">
                  <c:v>1</c:v>
                </c:pt>
              </c:numCache>
            </c:numRef>
          </c:val>
          <c:extLst>
            <c:ext xmlns:c16="http://schemas.microsoft.com/office/drawing/2014/chart" uri="{C3380CC4-5D6E-409C-BE32-E72D297353CC}">
              <c16:uniqueId val="{00000005-BD1D-474E-A151-EF79D50693E4}"/>
            </c:ext>
          </c:extLst>
        </c:ser>
        <c:dLbls>
          <c:showLegendKey val="0"/>
          <c:showVal val="0"/>
          <c:showCatName val="0"/>
          <c:showSerName val="0"/>
          <c:showPercent val="0"/>
          <c:showBubbleSize val="0"/>
        </c:dLbls>
        <c:gapWidth val="182"/>
        <c:axId val="1335792191"/>
        <c:axId val="1335649567"/>
      </c:barChart>
      <c:catAx>
        <c:axId val="1335792191"/>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49567"/>
        <c:crosses val="autoZero"/>
        <c:auto val="1"/>
        <c:lblAlgn val="ctr"/>
        <c:lblOffset val="100"/>
        <c:noMultiLvlLbl val="0"/>
      </c:catAx>
      <c:valAx>
        <c:axId val="1335649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9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7</xdr:row>
      <xdr:rowOff>116840</xdr:rowOff>
    </xdr:from>
    <xdr:to>
      <xdr:col>7</xdr:col>
      <xdr:colOff>495300</xdr:colOff>
      <xdr:row>21</xdr:row>
      <xdr:rowOff>96520</xdr:rowOff>
    </xdr:to>
    <xdr:graphicFrame macro="">
      <xdr:nvGraphicFramePr>
        <xdr:cNvPr id="2" name="Chart 1">
          <a:extLst>
            <a:ext uri="{FF2B5EF4-FFF2-40B4-BE49-F238E27FC236}">
              <a16:creationId xmlns:a16="http://schemas.microsoft.com/office/drawing/2014/main" id="{E37BEC17-D3EC-D307-52A8-749027F63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7</xdr:row>
      <xdr:rowOff>116840</xdr:rowOff>
    </xdr:from>
    <xdr:to>
      <xdr:col>15</xdr:col>
      <xdr:colOff>381000</xdr:colOff>
      <xdr:row>21</xdr:row>
      <xdr:rowOff>96520</xdr:rowOff>
    </xdr:to>
    <xdr:graphicFrame macro="">
      <xdr:nvGraphicFramePr>
        <xdr:cNvPr id="3" name="Chart 2">
          <a:extLst>
            <a:ext uri="{FF2B5EF4-FFF2-40B4-BE49-F238E27FC236}">
              <a16:creationId xmlns:a16="http://schemas.microsoft.com/office/drawing/2014/main" id="{36C87028-F6E0-F6A8-D356-21F271F76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571500</xdr:colOff>
      <xdr:row>7</xdr:row>
      <xdr:rowOff>116840</xdr:rowOff>
    </xdr:from>
    <xdr:to>
      <xdr:col>23</xdr:col>
      <xdr:colOff>266700</xdr:colOff>
      <xdr:row>21</xdr:row>
      <xdr:rowOff>96520</xdr:rowOff>
    </xdr:to>
    <xdr:graphicFrame macro="">
      <xdr:nvGraphicFramePr>
        <xdr:cNvPr id="4" name="Chart 3">
          <a:extLst>
            <a:ext uri="{FF2B5EF4-FFF2-40B4-BE49-F238E27FC236}">
              <a16:creationId xmlns:a16="http://schemas.microsoft.com/office/drawing/2014/main" id="{75B59E62-C4E8-12F3-6FD0-9647988C3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22</xdr:row>
      <xdr:rowOff>40640</xdr:rowOff>
    </xdr:from>
    <xdr:to>
      <xdr:col>7</xdr:col>
      <xdr:colOff>495300</xdr:colOff>
      <xdr:row>36</xdr:row>
      <xdr:rowOff>20320</xdr:rowOff>
    </xdr:to>
    <xdr:graphicFrame macro="">
      <xdr:nvGraphicFramePr>
        <xdr:cNvPr id="5" name="Chart 4">
          <a:extLst>
            <a:ext uri="{FF2B5EF4-FFF2-40B4-BE49-F238E27FC236}">
              <a16:creationId xmlns:a16="http://schemas.microsoft.com/office/drawing/2014/main" id="{17AD098F-E92B-AFA7-1603-5371B3160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76200</xdr:colOff>
      <xdr:row>22</xdr:row>
      <xdr:rowOff>40640</xdr:rowOff>
    </xdr:from>
    <xdr:to>
      <xdr:col>15</xdr:col>
      <xdr:colOff>381000</xdr:colOff>
      <xdr:row>36</xdr:row>
      <xdr:rowOff>20320</xdr:rowOff>
    </xdr:to>
    <xdr:graphicFrame macro="">
      <xdr:nvGraphicFramePr>
        <xdr:cNvPr id="6" name="Chart 5">
          <a:extLst>
            <a:ext uri="{FF2B5EF4-FFF2-40B4-BE49-F238E27FC236}">
              <a16:creationId xmlns:a16="http://schemas.microsoft.com/office/drawing/2014/main" id="{491D6C51-8974-1007-491D-FAC82DE03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571500</xdr:colOff>
      <xdr:row>22</xdr:row>
      <xdr:rowOff>40640</xdr:rowOff>
    </xdr:from>
    <xdr:to>
      <xdr:col>23</xdr:col>
      <xdr:colOff>266700</xdr:colOff>
      <xdr:row>36</xdr:row>
      <xdr:rowOff>20320</xdr:rowOff>
    </xdr:to>
    <xdr:graphicFrame macro="">
      <xdr:nvGraphicFramePr>
        <xdr:cNvPr id="7" name="Chart 6">
          <a:extLst>
            <a:ext uri="{FF2B5EF4-FFF2-40B4-BE49-F238E27FC236}">
              <a16:creationId xmlns:a16="http://schemas.microsoft.com/office/drawing/2014/main" id="{5707A4AC-8C4B-18EC-7C0C-FCC6F612F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457200</xdr:colOff>
      <xdr:row>7</xdr:row>
      <xdr:rowOff>116840</xdr:rowOff>
    </xdr:from>
    <xdr:to>
      <xdr:col>26</xdr:col>
      <xdr:colOff>25400</xdr:colOff>
      <xdr:row>15</xdr:row>
      <xdr:rowOff>152400</xdr:rowOff>
    </xdr:to>
    <mc:AlternateContent xmlns:mc="http://schemas.openxmlformats.org/markup-compatibility/2006">
      <mc:Choice xmlns:a14="http://schemas.microsoft.com/office/drawing/2010/main" Requires="a14">
        <xdr:graphicFrame macro="">
          <xdr:nvGraphicFramePr>
            <xdr:cNvPr id="8" name="SL_Region">
              <a:extLst>
                <a:ext uri="{FF2B5EF4-FFF2-40B4-BE49-F238E27FC236}">
                  <a16:creationId xmlns:a16="http://schemas.microsoft.com/office/drawing/2014/main" id="{BB85A6CF-ABE6-0B68-0E1E-D491597BBDEE}"/>
                </a:ext>
              </a:extLst>
            </xdr:cNvPr>
            <xdr:cNvGraphicFramePr/>
          </xdr:nvGraphicFramePr>
          <xdr:xfrm>
            <a:off x="0" y="0"/>
            <a:ext cx="0" cy="0"/>
          </xdr:xfrm>
          <a:graphic>
            <a:graphicData uri="http://schemas.microsoft.com/office/drawing/2010/slicer">
              <sle:slicer xmlns:sle="http://schemas.microsoft.com/office/drawing/2010/slicer" name="SL_Region"/>
            </a:graphicData>
          </a:graphic>
        </xdr:graphicFrame>
      </mc:Choice>
      <mc:Fallback>
        <xdr:sp macro="" textlink="">
          <xdr:nvSpPr>
            <xdr:cNvPr id="0" name=""/>
            <xdr:cNvSpPr>
              <a:spLocks noTextEdit="1"/>
            </xdr:cNvSpPr>
          </xdr:nvSpPr>
          <xdr:spPr>
            <a:xfrm>
              <a:off x="14478000" y="1397000"/>
              <a:ext cx="139700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457200</xdr:colOff>
      <xdr:row>16</xdr:row>
      <xdr:rowOff>58420</xdr:rowOff>
    </xdr:from>
    <xdr:to>
      <xdr:col>26</xdr:col>
      <xdr:colOff>25400</xdr:colOff>
      <xdr:row>24</xdr:row>
      <xdr:rowOff>93980</xdr:rowOff>
    </xdr:to>
    <mc:AlternateContent xmlns:mc="http://schemas.openxmlformats.org/markup-compatibility/2006">
      <mc:Choice xmlns:a14="http://schemas.microsoft.com/office/drawing/2010/main" Requires="a14">
        <xdr:graphicFrame macro="">
          <xdr:nvGraphicFramePr>
            <xdr:cNvPr id="9" name="SL_Category">
              <a:extLst>
                <a:ext uri="{FF2B5EF4-FFF2-40B4-BE49-F238E27FC236}">
                  <a16:creationId xmlns:a16="http://schemas.microsoft.com/office/drawing/2014/main" id="{55BBAE55-356E-8AAC-9C71-403AB5E38F46}"/>
                </a:ext>
              </a:extLst>
            </xdr:cNvPr>
            <xdr:cNvGraphicFramePr/>
          </xdr:nvGraphicFramePr>
          <xdr:xfrm>
            <a:off x="0" y="0"/>
            <a:ext cx="0" cy="0"/>
          </xdr:xfrm>
          <a:graphic>
            <a:graphicData uri="http://schemas.microsoft.com/office/drawing/2010/slicer">
              <sle:slicer xmlns:sle="http://schemas.microsoft.com/office/drawing/2010/slicer" name="SL_Category"/>
            </a:graphicData>
          </a:graphic>
        </xdr:graphicFrame>
      </mc:Choice>
      <mc:Fallback>
        <xdr:sp macro="" textlink="">
          <xdr:nvSpPr>
            <xdr:cNvPr id="0" name=""/>
            <xdr:cNvSpPr>
              <a:spLocks noTextEdit="1"/>
            </xdr:cNvSpPr>
          </xdr:nvSpPr>
          <xdr:spPr>
            <a:xfrm>
              <a:off x="14478000" y="2984500"/>
              <a:ext cx="139700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457200</xdr:colOff>
      <xdr:row>25</xdr:row>
      <xdr:rowOff>0</xdr:rowOff>
    </xdr:from>
    <xdr:to>
      <xdr:col>26</xdr:col>
      <xdr:colOff>25400</xdr:colOff>
      <xdr:row>33</xdr:row>
      <xdr:rowOff>35560</xdr:rowOff>
    </xdr:to>
    <mc:AlternateContent xmlns:mc="http://schemas.openxmlformats.org/markup-compatibility/2006">
      <mc:Choice xmlns:a14="http://schemas.microsoft.com/office/drawing/2010/main" Requires="a14">
        <xdr:graphicFrame macro="">
          <xdr:nvGraphicFramePr>
            <xdr:cNvPr id="10" name="SL_Payment">
              <a:extLst>
                <a:ext uri="{FF2B5EF4-FFF2-40B4-BE49-F238E27FC236}">
                  <a16:creationId xmlns:a16="http://schemas.microsoft.com/office/drawing/2014/main" id="{B8AF6577-7948-F2B4-9631-8B70DEF3FEDC}"/>
                </a:ext>
              </a:extLst>
            </xdr:cNvPr>
            <xdr:cNvGraphicFramePr/>
          </xdr:nvGraphicFramePr>
          <xdr:xfrm>
            <a:off x="0" y="0"/>
            <a:ext cx="0" cy="0"/>
          </xdr:xfrm>
          <a:graphic>
            <a:graphicData uri="http://schemas.microsoft.com/office/drawing/2010/slicer">
              <sle:slicer xmlns:sle="http://schemas.microsoft.com/office/drawing/2010/slicer" name="SL_Payment"/>
            </a:graphicData>
          </a:graphic>
        </xdr:graphicFrame>
      </mc:Choice>
      <mc:Fallback>
        <xdr:sp macro="" textlink="">
          <xdr:nvSpPr>
            <xdr:cNvPr id="0" name=""/>
            <xdr:cNvSpPr>
              <a:spLocks noTextEdit="1"/>
            </xdr:cNvSpPr>
          </xdr:nvSpPr>
          <xdr:spPr>
            <a:xfrm>
              <a:off x="14478000" y="4572000"/>
              <a:ext cx="139700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457200</xdr:colOff>
      <xdr:row>33</xdr:row>
      <xdr:rowOff>124460</xdr:rowOff>
    </xdr:from>
    <xdr:to>
      <xdr:col>26</xdr:col>
      <xdr:colOff>25400</xdr:colOff>
      <xdr:row>41</xdr:row>
      <xdr:rowOff>160020</xdr:rowOff>
    </xdr:to>
    <mc:AlternateContent xmlns:mc="http://schemas.openxmlformats.org/markup-compatibility/2006">
      <mc:Choice xmlns:a14="http://schemas.microsoft.com/office/drawing/2010/main" Requires="a14">
        <xdr:graphicFrame macro="">
          <xdr:nvGraphicFramePr>
            <xdr:cNvPr id="11" name="SL_Rep">
              <a:extLst>
                <a:ext uri="{FF2B5EF4-FFF2-40B4-BE49-F238E27FC236}">
                  <a16:creationId xmlns:a16="http://schemas.microsoft.com/office/drawing/2014/main" id="{C14A099E-904B-5D67-8013-787BBD20E9FA}"/>
                </a:ext>
              </a:extLst>
            </xdr:cNvPr>
            <xdr:cNvGraphicFramePr/>
          </xdr:nvGraphicFramePr>
          <xdr:xfrm>
            <a:off x="0" y="0"/>
            <a:ext cx="0" cy="0"/>
          </xdr:xfrm>
          <a:graphic>
            <a:graphicData uri="http://schemas.microsoft.com/office/drawing/2010/slicer">
              <sle:slicer xmlns:sle="http://schemas.microsoft.com/office/drawing/2010/slicer" name="SL_Rep"/>
            </a:graphicData>
          </a:graphic>
        </xdr:graphicFrame>
      </mc:Choice>
      <mc:Fallback>
        <xdr:sp macro="" textlink="">
          <xdr:nvSpPr>
            <xdr:cNvPr id="0" name=""/>
            <xdr:cNvSpPr>
              <a:spLocks noTextEdit="1"/>
            </xdr:cNvSpPr>
          </xdr:nvSpPr>
          <xdr:spPr>
            <a:xfrm>
              <a:off x="14478000" y="6159500"/>
              <a:ext cx="139700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refreshedDate="46178.198619097224" createdVersion="3" refreshedVersion="8" minRefreshableVersion="3" recordCount="150" xr:uid="{AFDC6C2D-8F80-46CB-8866-34631DDB4937}">
  <cacheSource type="worksheet">
    <worksheetSource name="tblSales"/>
  </cacheSource>
  <cacheFields count="17">
    <cacheField name="Order ID" numFmtId="0">
      <sharedItems/>
    </cacheField>
    <cacheField name="Customer ID" numFmtId="0">
      <sharedItems/>
    </cacheField>
    <cacheField name="Customer Name" numFmtId="0">
      <sharedItems/>
    </cacheField>
    <cacheField name="Order Date" numFmtId="164">
      <sharedItems containsSemiMixedTypes="0" containsNonDate="0" containsDate="1" containsString="0" minDate="2024-01-01T00:00:00" maxDate="2024-12-27T00:00:00"/>
    </cacheField>
    <cacheField name="Order Month" numFmtId="0">
      <sharedItems count="12">
        <s v="2024-07"/>
        <s v="2024-10"/>
        <s v="2024-11"/>
        <s v="2024-09"/>
        <s v="2024-12"/>
        <s v="2024-06"/>
        <s v="2024-04"/>
        <s v="2024-08"/>
        <s v="2024-05"/>
        <s v="2024-01"/>
        <s v="2024-02"/>
        <s v="2024-03"/>
      </sharedItems>
    </cacheField>
    <cacheField name="Region" numFmtId="0">
      <sharedItems count="4">
        <s v="East"/>
        <s v="South"/>
        <s v="North"/>
        <s v="West"/>
      </sharedItems>
    </cacheField>
    <cacheField name="State" numFmtId="0">
      <sharedItems/>
    </cacheField>
    <cacheField name="Product Category" numFmtId="0">
      <sharedItems count="5">
        <s v="Sports"/>
        <s v="Home &amp; Kitchen"/>
        <s v="Electronics"/>
        <s v="Fashion"/>
        <s v="Beauty"/>
      </sharedItems>
    </cacheField>
    <cacheField name="Product Name" numFmtId="0">
      <sharedItems/>
    </cacheField>
    <cacheField name="Quantity Sold" numFmtId="0">
      <sharedItems containsSemiMixedTypes="0" containsString="0" containsNumber="1" containsInteger="1" minValue="1" maxValue="5"/>
    </cacheField>
    <cacheField name="Unit Price" numFmtId="3">
      <sharedItems containsSemiMixedTypes="0" containsString="0" containsNumber="1" containsInteger="1" minValue="650" maxValue="52000"/>
    </cacheField>
    <cacheField name="Sales Amount" numFmtId="3">
      <sharedItems containsSemiMixedTypes="0" containsString="0" containsNumber="1" minValue="520" maxValue="208000"/>
    </cacheField>
    <cacheField name="Discount %" numFmtId="165">
      <sharedItems containsSemiMixedTypes="0" containsString="0" containsNumber="1" minValue="0" maxValue="0.2"/>
    </cacheField>
    <cacheField name="Profit Amount" numFmtId="3">
      <sharedItems containsSemiMixedTypes="0" containsString="0" containsNumber="1" minValue="-4160" maxValue="37440"/>
    </cacheField>
    <cacheField name="Sales Representative" numFmtId="0">
      <sharedItems count="6">
        <s v="Rahul Verma"/>
        <s v="Anita Desai"/>
        <s v="Vikram Singh"/>
        <s v="Priya Nair"/>
        <s v="Amit Sharma"/>
        <s v="Sneha Iyer"/>
      </sharedItems>
    </cacheField>
    <cacheField name="Payment Method" numFmtId="0">
      <sharedItems count="5">
        <s v="Net Banking"/>
        <s v="Cash on Delivery"/>
        <s v="Credit Card"/>
        <s v="UPI"/>
        <s v="Debit Card"/>
      </sharedItems>
    </cacheField>
    <cacheField name="Delivery Status" numFmtId="0">
      <sharedItems count="4">
        <s v="Delivered"/>
        <s v="In Transit"/>
        <s v="Cancelled"/>
        <s v="Returned"/>
      </sharedItems>
    </cacheField>
  </cacheFields>
  <extLst>
    <ext xmlns:x14="http://schemas.microsoft.com/office/spreadsheetml/2009/9/main" uri="{725AE2AE-9491-48be-B2B4-4EB974FC3084}">
      <x14:pivotCacheDefinition pivotCacheId="684639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RD1001"/>
    <s v="CU022"/>
    <s v="Dev Sharma"/>
    <d v="2024-07-31T00:00:00"/>
    <x v="0"/>
    <x v="0"/>
    <s v="Odisha"/>
    <x v="0"/>
    <s v="Yoga Mat"/>
    <n v="1"/>
    <n v="1100"/>
    <n v="1045"/>
    <n v="0.05"/>
    <n v="495"/>
    <x v="0"/>
    <x v="0"/>
    <x v="0"/>
  </r>
  <r>
    <s v="ORD1002"/>
    <s v="CU010"/>
    <s v="Diya Gupta"/>
    <d v="2024-10-12T00:00:00"/>
    <x v="1"/>
    <x v="0"/>
    <s v="West Bengal"/>
    <x v="1"/>
    <s v="Mixer Grinder"/>
    <n v="1"/>
    <n v="3200"/>
    <n v="3200"/>
    <n v="0"/>
    <n v="1120"/>
    <x v="0"/>
    <x v="1"/>
    <x v="0"/>
  </r>
  <r>
    <s v="ORD1003"/>
    <s v="CU034"/>
    <s v="Aarav Mehta"/>
    <d v="2024-07-11T00:00:00"/>
    <x v="0"/>
    <x v="0"/>
    <s v="Odisha"/>
    <x v="0"/>
    <s v="Dumbbell Set"/>
    <n v="5"/>
    <n v="2800"/>
    <n v="14000"/>
    <n v="0"/>
    <n v="4760"/>
    <x v="1"/>
    <x v="2"/>
    <x v="0"/>
  </r>
  <r>
    <s v="ORD1004"/>
    <s v="CU015"/>
    <s v="Riya Mehta"/>
    <d v="2024-11-14T00:00:00"/>
    <x v="2"/>
    <x v="1"/>
    <s v="Kerala"/>
    <x v="2"/>
    <s v="Smartphone"/>
    <n v="3"/>
    <n v="18000"/>
    <n v="54000"/>
    <n v="0"/>
    <n v="11880"/>
    <x v="0"/>
    <x v="2"/>
    <x v="0"/>
  </r>
  <r>
    <s v="ORD1005"/>
    <s v="CU026"/>
    <s v="Meera Verma"/>
    <d v="2024-10-04T00:00:00"/>
    <x v="1"/>
    <x v="0"/>
    <s v="Bihar"/>
    <x v="1"/>
    <s v="Mixer Grinder"/>
    <n v="2"/>
    <n v="3200"/>
    <n v="5760"/>
    <n v="0.1"/>
    <n v="1600"/>
    <x v="2"/>
    <x v="3"/>
    <x v="0"/>
  </r>
  <r>
    <s v="ORD1006"/>
    <s v="CU017"/>
    <s v="Riya Gupta"/>
    <d v="2024-07-14T00:00:00"/>
    <x v="0"/>
    <x v="2"/>
    <s v="Uttar Pradesh"/>
    <x v="1"/>
    <s v="Non-Stick Cookware"/>
    <n v="4"/>
    <n v="1800"/>
    <n v="6480"/>
    <n v="0.1"/>
    <n v="2304"/>
    <x v="1"/>
    <x v="1"/>
    <x v="1"/>
  </r>
  <r>
    <s v="ORD1007"/>
    <s v="CU005"/>
    <s v="Arjun Gupta"/>
    <d v="2024-09-07T00:00:00"/>
    <x v="3"/>
    <x v="1"/>
    <s v="Kerala"/>
    <x v="1"/>
    <s v="Mixer Grinder"/>
    <n v="3"/>
    <n v="3200"/>
    <n v="8160"/>
    <n v="0.15"/>
    <n v="1920"/>
    <x v="0"/>
    <x v="4"/>
    <x v="2"/>
  </r>
  <r>
    <s v="ORD1008"/>
    <s v="CU029"/>
    <s v="Tara Singh"/>
    <d v="2024-12-26T00:00:00"/>
    <x v="4"/>
    <x v="1"/>
    <s v="Telangana"/>
    <x v="3"/>
    <s v="Denim Jeans"/>
    <n v="4"/>
    <n v="1500"/>
    <n v="5400"/>
    <n v="0.1"/>
    <n v="2400"/>
    <x v="3"/>
    <x v="4"/>
    <x v="0"/>
  </r>
  <r>
    <s v="ORD1009"/>
    <s v="CU040"/>
    <s v="Rohan Nair"/>
    <d v="2024-06-02T00:00:00"/>
    <x v="5"/>
    <x v="0"/>
    <s v="Assam"/>
    <x v="4"/>
    <s v="Face Serum"/>
    <n v="1"/>
    <n v="1200"/>
    <n v="1140"/>
    <n v="0.05"/>
    <n v="660"/>
    <x v="1"/>
    <x v="2"/>
    <x v="0"/>
  </r>
  <r>
    <s v="ORD1010"/>
    <s v="CU036"/>
    <s v="Aarav Gupta"/>
    <d v="2024-12-16T00:00:00"/>
    <x v="4"/>
    <x v="3"/>
    <s v="Maharashtra"/>
    <x v="4"/>
    <s v="Lipstick Set"/>
    <n v="2"/>
    <n v="650"/>
    <n v="1300"/>
    <n v="0"/>
    <n v="754"/>
    <x v="4"/>
    <x v="4"/>
    <x v="3"/>
  </r>
  <r>
    <s v="ORD1011"/>
    <s v="CU022"/>
    <s v="Dev Sharma"/>
    <d v="2024-11-04T00:00:00"/>
    <x v="2"/>
    <x v="1"/>
    <s v="Karnataka"/>
    <x v="0"/>
    <s v="Yoga Mat"/>
    <n v="4"/>
    <n v="1100"/>
    <n v="3740"/>
    <n v="0.15"/>
    <n v="1540"/>
    <x v="1"/>
    <x v="0"/>
    <x v="0"/>
  </r>
  <r>
    <s v="ORD1012"/>
    <s v="CU002"/>
    <s v="Karan Rao"/>
    <d v="2024-04-09T00:00:00"/>
    <x v="6"/>
    <x v="1"/>
    <s v="Karnataka"/>
    <x v="4"/>
    <s v="Perfume"/>
    <n v="2"/>
    <n v="2400"/>
    <n v="4320"/>
    <n v="0.1"/>
    <n v="2016"/>
    <x v="4"/>
    <x v="4"/>
    <x v="0"/>
  </r>
  <r>
    <s v="ORD1013"/>
    <s v="CU017"/>
    <s v="Riya Gupta"/>
    <d v="2024-11-11T00:00:00"/>
    <x v="2"/>
    <x v="1"/>
    <s v="Kerala"/>
    <x v="2"/>
    <s v="Wireless Headphones"/>
    <n v="5"/>
    <n v="2500"/>
    <n v="11250"/>
    <n v="0.1"/>
    <n v="3500"/>
    <x v="3"/>
    <x v="4"/>
    <x v="0"/>
  </r>
  <r>
    <s v="ORD1014"/>
    <s v="CU006"/>
    <s v="Arjun Reddy"/>
    <d v="2024-08-13T00:00:00"/>
    <x v="7"/>
    <x v="1"/>
    <s v="Tamil Nadu"/>
    <x v="1"/>
    <s v="Mixer Grinder"/>
    <n v="1"/>
    <n v="3200"/>
    <n v="2880"/>
    <n v="0.1"/>
    <n v="800"/>
    <x v="4"/>
    <x v="4"/>
    <x v="1"/>
  </r>
  <r>
    <s v="ORD1015"/>
    <s v="CU025"/>
    <s v="Pooja Iyer"/>
    <d v="2024-04-09T00:00:00"/>
    <x v="6"/>
    <x v="3"/>
    <s v="Rajasthan"/>
    <x v="4"/>
    <s v="Lipstick Set"/>
    <n v="4"/>
    <n v="650"/>
    <n v="2210"/>
    <n v="0.15"/>
    <n v="1118"/>
    <x v="2"/>
    <x v="4"/>
    <x v="0"/>
  </r>
  <r>
    <s v="ORD1016"/>
    <s v="CU001"/>
    <s v="Dev Nair"/>
    <d v="2024-05-21T00:00:00"/>
    <x v="8"/>
    <x v="0"/>
    <s v="Bihar"/>
    <x v="0"/>
    <s v="Yoga Mat"/>
    <n v="3"/>
    <n v="1100"/>
    <n v="2805"/>
    <n v="0.15"/>
    <n v="1155"/>
    <x v="1"/>
    <x v="4"/>
    <x v="3"/>
  </r>
  <r>
    <s v="ORD1017"/>
    <s v="CU021"/>
    <s v="Yash Gupta"/>
    <d v="2024-08-20T00:00:00"/>
    <x v="7"/>
    <x v="1"/>
    <s v="Telangana"/>
    <x v="3"/>
    <s v="Denim Jeans"/>
    <n v="5"/>
    <n v="1500"/>
    <n v="6750"/>
    <n v="0.1"/>
    <n v="3000"/>
    <x v="0"/>
    <x v="4"/>
    <x v="2"/>
  </r>
  <r>
    <s v="ORD1018"/>
    <s v="CU029"/>
    <s v="Tara Singh"/>
    <d v="2024-01-05T00:00:00"/>
    <x v="9"/>
    <x v="0"/>
    <s v="Odisha"/>
    <x v="1"/>
    <s v="Non-Stick Cookware"/>
    <n v="1"/>
    <n v="1800"/>
    <n v="1620"/>
    <n v="0.1"/>
    <n v="576"/>
    <x v="1"/>
    <x v="0"/>
    <x v="0"/>
  </r>
  <r>
    <s v="ORD1019"/>
    <s v="CU036"/>
    <s v="Aarav Gupta"/>
    <d v="2024-10-08T00:00:00"/>
    <x v="1"/>
    <x v="1"/>
    <s v="Tamil Nadu"/>
    <x v="0"/>
    <s v="Dumbbell Set"/>
    <n v="5"/>
    <n v="2800"/>
    <n v="14000"/>
    <n v="0"/>
    <n v="4760"/>
    <x v="2"/>
    <x v="4"/>
    <x v="0"/>
  </r>
  <r>
    <s v="ORD1020"/>
    <s v="CU033"/>
    <s v="Riya Reddy"/>
    <d v="2024-08-05T00:00:00"/>
    <x v="7"/>
    <x v="2"/>
    <s v="Uttar Pradesh"/>
    <x v="0"/>
    <s v="Dumbbell Set"/>
    <n v="5"/>
    <n v="2800"/>
    <n v="11200"/>
    <n v="0.2"/>
    <n v="1960"/>
    <x v="4"/>
    <x v="3"/>
    <x v="1"/>
  </r>
  <r>
    <s v="ORD1021"/>
    <s v="CU002"/>
    <s v="Karan Rao"/>
    <d v="2024-09-14T00:00:00"/>
    <x v="3"/>
    <x v="1"/>
    <s v="Kerala"/>
    <x v="4"/>
    <s v="Perfume"/>
    <n v="5"/>
    <n v="2400"/>
    <n v="10200"/>
    <n v="0.15"/>
    <n v="4440"/>
    <x v="1"/>
    <x v="4"/>
    <x v="0"/>
  </r>
  <r>
    <s v="ORD1022"/>
    <s v="CU019"/>
    <s v="Tara Gupta"/>
    <d v="2024-07-15T00:00:00"/>
    <x v="0"/>
    <x v="1"/>
    <s v="Tamil Nadu"/>
    <x v="0"/>
    <s v="Yoga Mat"/>
    <n v="3"/>
    <n v="1100"/>
    <n v="2970"/>
    <n v="0.1"/>
    <n v="1320"/>
    <x v="2"/>
    <x v="1"/>
    <x v="0"/>
  </r>
  <r>
    <s v="ORD1023"/>
    <s v="CU018"/>
    <s v="Tara Joshi"/>
    <d v="2024-02-14T00:00:00"/>
    <x v="10"/>
    <x v="2"/>
    <s v="Delhi"/>
    <x v="2"/>
    <s v="Smartphone"/>
    <n v="3"/>
    <n v="18000"/>
    <n v="43200"/>
    <n v="0.2"/>
    <n v="1080"/>
    <x v="0"/>
    <x v="4"/>
    <x v="0"/>
  </r>
  <r>
    <s v="ORD1024"/>
    <s v="CU008"/>
    <s v="Neha Khan"/>
    <d v="2024-12-11T00:00:00"/>
    <x v="4"/>
    <x v="1"/>
    <s v="Karnataka"/>
    <x v="0"/>
    <s v="Cricket Bat"/>
    <n v="3"/>
    <n v="1900"/>
    <n v="5700"/>
    <n v="0"/>
    <n v="2280"/>
    <x v="1"/>
    <x v="4"/>
    <x v="3"/>
  </r>
  <r>
    <s v="ORD1025"/>
    <s v="CU026"/>
    <s v="Meera Verma"/>
    <d v="2024-11-30T00:00:00"/>
    <x v="2"/>
    <x v="3"/>
    <s v="Goa"/>
    <x v="1"/>
    <s v="LED Table Lamp"/>
    <n v="4"/>
    <n v="950"/>
    <n v="3610"/>
    <n v="0.05"/>
    <n v="1634"/>
    <x v="5"/>
    <x v="2"/>
    <x v="3"/>
  </r>
  <r>
    <s v="ORD1026"/>
    <s v="CU023"/>
    <s v="Pooja Malhotra"/>
    <d v="2024-10-31T00:00:00"/>
    <x v="1"/>
    <x v="0"/>
    <s v="Assam"/>
    <x v="1"/>
    <s v="Non-Stick Cookware"/>
    <n v="2"/>
    <n v="1800"/>
    <n v="3420"/>
    <n v="0.05"/>
    <n v="1332"/>
    <x v="1"/>
    <x v="3"/>
    <x v="1"/>
  </r>
  <r>
    <s v="ORD1027"/>
    <s v="CU017"/>
    <s v="Riya Gupta"/>
    <d v="2024-06-01T00:00:00"/>
    <x v="5"/>
    <x v="1"/>
    <s v="Karnataka"/>
    <x v="4"/>
    <s v="Face Serum"/>
    <n v="4"/>
    <n v="1200"/>
    <n v="4800"/>
    <n v="0"/>
    <n v="2880"/>
    <x v="2"/>
    <x v="1"/>
    <x v="2"/>
  </r>
  <r>
    <s v="ORD1028"/>
    <s v="CU025"/>
    <s v="Pooja Iyer"/>
    <d v="2024-10-12T00:00:00"/>
    <x v="1"/>
    <x v="1"/>
    <s v="Tamil Nadu"/>
    <x v="3"/>
    <s v="Cotton T-Shirt"/>
    <n v="4"/>
    <n v="799"/>
    <n v="3196"/>
    <n v="0"/>
    <n v="1757.8"/>
    <x v="0"/>
    <x v="1"/>
    <x v="1"/>
  </r>
  <r>
    <s v="ORD1029"/>
    <s v="CU014"/>
    <s v="Sahil Verma"/>
    <d v="2024-07-16T00:00:00"/>
    <x v="0"/>
    <x v="3"/>
    <s v="Gujarat"/>
    <x v="2"/>
    <s v="Smartphone"/>
    <n v="5"/>
    <n v="18000"/>
    <n v="76500"/>
    <n v="0.15"/>
    <n v="6300"/>
    <x v="4"/>
    <x v="0"/>
    <x v="1"/>
  </r>
  <r>
    <s v="ORD1030"/>
    <s v="CU039"/>
    <s v="Aarav Singh"/>
    <d v="2024-08-31T00:00:00"/>
    <x v="7"/>
    <x v="1"/>
    <s v="Telangana"/>
    <x v="3"/>
    <s v="Cotton T-Shirt"/>
    <n v="3"/>
    <n v="799"/>
    <n v="2157.3000000000002"/>
    <n v="0.1"/>
    <n v="1078.6500000000001"/>
    <x v="3"/>
    <x v="4"/>
    <x v="2"/>
  </r>
  <r>
    <s v="ORD1031"/>
    <s v="CU027"/>
    <s v="Sahil Das"/>
    <d v="2024-08-20T00:00:00"/>
    <x v="7"/>
    <x v="2"/>
    <s v="Uttar Pradesh"/>
    <x v="0"/>
    <s v="Yoga Mat"/>
    <n v="2"/>
    <n v="1100"/>
    <n v="1980"/>
    <n v="0.1"/>
    <n v="880"/>
    <x v="4"/>
    <x v="0"/>
    <x v="3"/>
  </r>
  <r>
    <s v="ORD1032"/>
    <s v="CU028"/>
    <s v="Diya Malhotra"/>
    <d v="2024-08-26T00:00:00"/>
    <x v="7"/>
    <x v="0"/>
    <s v="Odisha"/>
    <x v="3"/>
    <s v="Cotton T-Shirt"/>
    <n v="2"/>
    <n v="799"/>
    <n v="1518.1"/>
    <n v="0.05"/>
    <n v="799"/>
    <x v="3"/>
    <x v="0"/>
    <x v="0"/>
  </r>
  <r>
    <s v="ORD1033"/>
    <s v="CU034"/>
    <s v="Aarav Mehta"/>
    <d v="2024-03-06T00:00:00"/>
    <x v="11"/>
    <x v="1"/>
    <s v="Karnataka"/>
    <x v="1"/>
    <s v="LED Table Lamp"/>
    <n v="4"/>
    <n v="950"/>
    <n v="3230"/>
    <n v="0.15"/>
    <n v="1254"/>
    <x v="2"/>
    <x v="0"/>
    <x v="0"/>
  </r>
  <r>
    <s v="ORD1034"/>
    <s v="CU017"/>
    <s v="Riya Gupta"/>
    <d v="2024-11-02T00:00:00"/>
    <x v="2"/>
    <x v="2"/>
    <s v="Delhi"/>
    <x v="4"/>
    <s v="Perfume"/>
    <n v="4"/>
    <n v="2400"/>
    <n v="8640"/>
    <n v="0.1"/>
    <n v="4032"/>
    <x v="0"/>
    <x v="4"/>
    <x v="0"/>
  </r>
  <r>
    <s v="ORD1035"/>
    <s v="CU007"/>
    <s v="Aarav Das"/>
    <d v="2024-05-17T00:00:00"/>
    <x v="8"/>
    <x v="3"/>
    <s v="Rajasthan"/>
    <x v="0"/>
    <s v="Cricket Bat"/>
    <n v="3"/>
    <n v="1900"/>
    <n v="5700"/>
    <n v="0"/>
    <n v="2280"/>
    <x v="5"/>
    <x v="2"/>
    <x v="0"/>
  </r>
  <r>
    <s v="ORD1036"/>
    <s v="CU017"/>
    <s v="Riya Gupta"/>
    <d v="2024-12-02T00:00:00"/>
    <x v="4"/>
    <x v="1"/>
    <s v="Karnataka"/>
    <x v="4"/>
    <s v="Lipstick Set"/>
    <n v="3"/>
    <n v="650"/>
    <n v="1950"/>
    <n v="0"/>
    <n v="1131"/>
    <x v="1"/>
    <x v="1"/>
    <x v="0"/>
  </r>
  <r>
    <s v="ORD1037"/>
    <s v="CU022"/>
    <s v="Dev Sharma"/>
    <d v="2024-02-26T00:00:00"/>
    <x v="10"/>
    <x v="3"/>
    <s v="Gujarat"/>
    <x v="2"/>
    <s v="Smartphone"/>
    <n v="5"/>
    <n v="18000"/>
    <n v="81000"/>
    <n v="0.1"/>
    <n v="10800"/>
    <x v="0"/>
    <x v="2"/>
    <x v="0"/>
  </r>
  <r>
    <s v="ORD1038"/>
    <s v="CU029"/>
    <s v="Tara Singh"/>
    <d v="2024-12-11T00:00:00"/>
    <x v="4"/>
    <x v="2"/>
    <s v="Punjab"/>
    <x v="0"/>
    <s v="Cricket Bat"/>
    <n v="1"/>
    <n v="1900"/>
    <n v="1805"/>
    <n v="0.05"/>
    <n v="665"/>
    <x v="0"/>
    <x v="3"/>
    <x v="3"/>
  </r>
  <r>
    <s v="ORD1039"/>
    <s v="CU010"/>
    <s v="Diya Gupta"/>
    <d v="2024-10-29T00:00:00"/>
    <x v="1"/>
    <x v="3"/>
    <s v="Goa"/>
    <x v="4"/>
    <s v="Lipstick Set"/>
    <n v="1"/>
    <n v="650"/>
    <n v="520"/>
    <n v="0.2"/>
    <n v="247"/>
    <x v="5"/>
    <x v="0"/>
    <x v="0"/>
  </r>
  <r>
    <s v="ORD1040"/>
    <s v="CU001"/>
    <s v="Dev Nair"/>
    <d v="2024-10-16T00:00:00"/>
    <x v="1"/>
    <x v="2"/>
    <s v="Delhi"/>
    <x v="1"/>
    <s v="Non-Stick Cookware"/>
    <n v="1"/>
    <n v="1800"/>
    <n v="1710"/>
    <n v="0.05"/>
    <n v="666"/>
    <x v="0"/>
    <x v="1"/>
    <x v="2"/>
  </r>
  <r>
    <s v="ORD1041"/>
    <s v="CU031"/>
    <s v="Isha Mehta"/>
    <d v="2024-08-16T00:00:00"/>
    <x v="7"/>
    <x v="3"/>
    <s v="Goa"/>
    <x v="2"/>
    <s v="Laptop"/>
    <n v="4"/>
    <n v="52000"/>
    <n v="166400"/>
    <n v="0.2"/>
    <n v="-4160"/>
    <x v="1"/>
    <x v="4"/>
    <x v="0"/>
  </r>
  <r>
    <s v="ORD1042"/>
    <s v="CU031"/>
    <s v="Isha Mehta"/>
    <d v="2024-03-11T00:00:00"/>
    <x v="11"/>
    <x v="1"/>
    <s v="Kerala"/>
    <x v="1"/>
    <s v="LED Table Lamp"/>
    <n v="1"/>
    <n v="950"/>
    <n v="855"/>
    <n v="0.1"/>
    <n v="361"/>
    <x v="5"/>
    <x v="0"/>
    <x v="2"/>
  </r>
  <r>
    <s v="ORD1043"/>
    <s v="CU017"/>
    <s v="Riya Gupta"/>
    <d v="2024-08-17T00:00:00"/>
    <x v="7"/>
    <x v="2"/>
    <s v="Punjab"/>
    <x v="4"/>
    <s v="Perfume"/>
    <n v="3"/>
    <n v="2400"/>
    <n v="7200"/>
    <n v="0"/>
    <n v="3744"/>
    <x v="5"/>
    <x v="0"/>
    <x v="3"/>
  </r>
  <r>
    <s v="ORD1044"/>
    <s v="CU015"/>
    <s v="Riya Mehta"/>
    <d v="2024-10-29T00:00:00"/>
    <x v="1"/>
    <x v="0"/>
    <s v="West Bengal"/>
    <x v="0"/>
    <s v="Dumbbell Set"/>
    <n v="1"/>
    <n v="2800"/>
    <n v="2800"/>
    <n v="0"/>
    <n v="952"/>
    <x v="1"/>
    <x v="0"/>
    <x v="3"/>
  </r>
  <r>
    <s v="ORD1045"/>
    <s v="CU039"/>
    <s v="Aarav Singh"/>
    <d v="2024-03-22T00:00:00"/>
    <x v="11"/>
    <x v="1"/>
    <s v="Kerala"/>
    <x v="4"/>
    <s v="Face Serum"/>
    <n v="2"/>
    <n v="1200"/>
    <n v="2400"/>
    <n v="0"/>
    <n v="1440"/>
    <x v="3"/>
    <x v="4"/>
    <x v="0"/>
  </r>
  <r>
    <s v="ORD1046"/>
    <s v="CU033"/>
    <s v="Riya Reddy"/>
    <d v="2024-05-17T00:00:00"/>
    <x v="8"/>
    <x v="2"/>
    <s v="Punjab"/>
    <x v="1"/>
    <s v="Mixer Grinder"/>
    <n v="2"/>
    <n v="3200"/>
    <n v="5760"/>
    <n v="0.1"/>
    <n v="1600"/>
    <x v="3"/>
    <x v="1"/>
    <x v="0"/>
  </r>
  <r>
    <s v="ORD1047"/>
    <s v="CU040"/>
    <s v="Rohan Nair"/>
    <d v="2024-12-04T00:00:00"/>
    <x v="4"/>
    <x v="0"/>
    <s v="Assam"/>
    <x v="3"/>
    <s v="Denim Jeans"/>
    <n v="3"/>
    <n v="1500"/>
    <n v="4275"/>
    <n v="0.05"/>
    <n v="2025"/>
    <x v="2"/>
    <x v="0"/>
    <x v="0"/>
  </r>
  <r>
    <s v="ORD1048"/>
    <s v="CU023"/>
    <s v="Pooja Malhotra"/>
    <d v="2024-07-02T00:00:00"/>
    <x v="0"/>
    <x v="1"/>
    <s v="Tamil Nadu"/>
    <x v="4"/>
    <s v="Lipstick Set"/>
    <n v="3"/>
    <n v="650"/>
    <n v="1560"/>
    <n v="0.2"/>
    <n v="741"/>
    <x v="0"/>
    <x v="4"/>
    <x v="0"/>
  </r>
  <r>
    <s v="ORD1049"/>
    <s v="CU006"/>
    <s v="Arjun Reddy"/>
    <d v="2024-05-10T00:00:00"/>
    <x v="8"/>
    <x v="2"/>
    <s v="Haryana"/>
    <x v="3"/>
    <s v="Cotton T-Shirt"/>
    <n v="5"/>
    <n v="799"/>
    <n v="3196"/>
    <n v="0.2"/>
    <n v="1398.25"/>
    <x v="5"/>
    <x v="2"/>
    <x v="0"/>
  </r>
  <r>
    <s v="ORD1050"/>
    <s v="CU026"/>
    <s v="Meera Verma"/>
    <d v="2024-11-01T00:00:00"/>
    <x v="2"/>
    <x v="1"/>
    <s v="Karnataka"/>
    <x v="4"/>
    <s v="Lipstick Set"/>
    <n v="3"/>
    <n v="650"/>
    <n v="1755"/>
    <n v="0.1"/>
    <n v="936"/>
    <x v="3"/>
    <x v="0"/>
    <x v="0"/>
  </r>
  <r>
    <s v="ORD1051"/>
    <s v="CU025"/>
    <s v="Pooja Iyer"/>
    <d v="2024-06-11T00:00:00"/>
    <x v="5"/>
    <x v="3"/>
    <s v="Gujarat"/>
    <x v="2"/>
    <s v="Smartphone"/>
    <n v="3"/>
    <n v="18000"/>
    <n v="43200"/>
    <n v="0.2"/>
    <n v="1080"/>
    <x v="2"/>
    <x v="4"/>
    <x v="3"/>
  </r>
  <r>
    <s v="ORD1052"/>
    <s v="CU027"/>
    <s v="Sahil Das"/>
    <d v="2024-12-12T00:00:00"/>
    <x v="4"/>
    <x v="0"/>
    <s v="Assam"/>
    <x v="1"/>
    <s v="Non-Stick Cookware"/>
    <n v="2"/>
    <n v="1800"/>
    <n v="3420"/>
    <n v="0.05"/>
    <n v="1332"/>
    <x v="0"/>
    <x v="3"/>
    <x v="3"/>
  </r>
  <r>
    <s v="ORD1053"/>
    <s v="CU021"/>
    <s v="Yash Gupta"/>
    <d v="2024-11-28T00:00:00"/>
    <x v="2"/>
    <x v="3"/>
    <s v="Goa"/>
    <x v="4"/>
    <s v="Face Serum"/>
    <n v="4"/>
    <n v="1200"/>
    <n v="4320"/>
    <n v="0.1"/>
    <n v="2400"/>
    <x v="5"/>
    <x v="2"/>
    <x v="0"/>
  </r>
  <r>
    <s v="ORD1054"/>
    <s v="CU028"/>
    <s v="Diya Malhotra"/>
    <d v="2024-05-10T00:00:00"/>
    <x v="8"/>
    <x v="1"/>
    <s v="Karnataka"/>
    <x v="2"/>
    <s v="Laptop"/>
    <n v="3"/>
    <n v="52000"/>
    <n v="140400"/>
    <n v="0.1"/>
    <n v="12480"/>
    <x v="4"/>
    <x v="4"/>
    <x v="0"/>
  </r>
  <r>
    <s v="ORD1055"/>
    <s v="CU032"/>
    <s v="Rohan Das"/>
    <d v="2024-06-03T00:00:00"/>
    <x v="5"/>
    <x v="3"/>
    <s v="Gujarat"/>
    <x v="4"/>
    <s v="Face Serum"/>
    <n v="5"/>
    <n v="1200"/>
    <n v="6000"/>
    <n v="0"/>
    <n v="3600"/>
    <x v="0"/>
    <x v="2"/>
    <x v="0"/>
  </r>
  <r>
    <s v="ORD1056"/>
    <s v="CU032"/>
    <s v="Rohan Das"/>
    <d v="2024-12-20T00:00:00"/>
    <x v="4"/>
    <x v="2"/>
    <s v="Punjab"/>
    <x v="3"/>
    <s v="Denim Jeans"/>
    <n v="3"/>
    <n v="1500"/>
    <n v="4500"/>
    <n v="0"/>
    <n v="2250"/>
    <x v="1"/>
    <x v="1"/>
    <x v="0"/>
  </r>
  <r>
    <s v="ORD1057"/>
    <s v="CU003"/>
    <s v="Aarav Singh"/>
    <d v="2024-06-27T00:00:00"/>
    <x v="5"/>
    <x v="2"/>
    <s v="Punjab"/>
    <x v="3"/>
    <s v="Running Shoes"/>
    <n v="2"/>
    <n v="2200"/>
    <n v="3520"/>
    <n v="0.2"/>
    <n v="1100"/>
    <x v="4"/>
    <x v="3"/>
    <x v="0"/>
  </r>
  <r>
    <s v="ORD1058"/>
    <s v="CU035"/>
    <s v="Isha Das"/>
    <d v="2024-09-03T00:00:00"/>
    <x v="3"/>
    <x v="0"/>
    <s v="Odisha"/>
    <x v="3"/>
    <s v="Running Shoes"/>
    <n v="3"/>
    <n v="2200"/>
    <n v="5940"/>
    <n v="0.1"/>
    <n v="2310"/>
    <x v="4"/>
    <x v="1"/>
    <x v="0"/>
  </r>
  <r>
    <s v="ORD1059"/>
    <s v="CU015"/>
    <s v="Riya Mehta"/>
    <d v="2024-01-27T00:00:00"/>
    <x v="9"/>
    <x v="3"/>
    <s v="Goa"/>
    <x v="3"/>
    <s v="Denim Jeans"/>
    <n v="3"/>
    <n v="1500"/>
    <n v="4500"/>
    <n v="0"/>
    <n v="2250"/>
    <x v="3"/>
    <x v="0"/>
    <x v="3"/>
  </r>
  <r>
    <s v="ORD1060"/>
    <s v="CU006"/>
    <s v="Arjun Reddy"/>
    <d v="2024-06-18T00:00:00"/>
    <x v="5"/>
    <x v="3"/>
    <s v="Maharashtra"/>
    <x v="3"/>
    <s v="Cotton T-Shirt"/>
    <n v="2"/>
    <n v="799"/>
    <n v="1278.4000000000001"/>
    <n v="0.2"/>
    <n v="559.29999999999995"/>
    <x v="1"/>
    <x v="2"/>
    <x v="0"/>
  </r>
  <r>
    <s v="ORD1061"/>
    <s v="CU022"/>
    <s v="Dev Sharma"/>
    <d v="2024-05-27T00:00:00"/>
    <x v="8"/>
    <x v="1"/>
    <s v="Kerala"/>
    <x v="0"/>
    <s v="Dumbbell Set"/>
    <n v="1"/>
    <n v="2800"/>
    <n v="2240"/>
    <n v="0.2"/>
    <n v="392"/>
    <x v="3"/>
    <x v="0"/>
    <x v="1"/>
  </r>
  <r>
    <s v="ORD1062"/>
    <s v="CU035"/>
    <s v="Isha Das"/>
    <d v="2024-06-05T00:00:00"/>
    <x v="5"/>
    <x v="3"/>
    <s v="Goa"/>
    <x v="3"/>
    <s v="Cotton T-Shirt"/>
    <n v="3"/>
    <n v="799"/>
    <n v="2277.15"/>
    <n v="0.05"/>
    <n v="1198.5"/>
    <x v="1"/>
    <x v="1"/>
    <x v="0"/>
  </r>
  <r>
    <s v="ORD1063"/>
    <s v="CU004"/>
    <s v="Sahil Das"/>
    <d v="2024-10-22T00:00:00"/>
    <x v="1"/>
    <x v="3"/>
    <s v="Rajasthan"/>
    <x v="2"/>
    <s v="Wireless Headphones"/>
    <n v="2"/>
    <n v="2500"/>
    <n v="5000"/>
    <n v="0"/>
    <n v="1900"/>
    <x v="2"/>
    <x v="3"/>
    <x v="3"/>
  </r>
  <r>
    <s v="ORD1064"/>
    <s v="CU003"/>
    <s v="Aarav Singh"/>
    <d v="2024-03-13T00:00:00"/>
    <x v="11"/>
    <x v="2"/>
    <s v="Punjab"/>
    <x v="1"/>
    <s v="LED Table Lamp"/>
    <n v="1"/>
    <n v="950"/>
    <n v="950"/>
    <n v="0"/>
    <n v="456"/>
    <x v="2"/>
    <x v="4"/>
    <x v="0"/>
  </r>
  <r>
    <s v="ORD1065"/>
    <s v="CU015"/>
    <s v="Riya Mehta"/>
    <d v="2024-01-22T00:00:00"/>
    <x v="9"/>
    <x v="3"/>
    <s v="Gujarat"/>
    <x v="3"/>
    <s v="Denim Jeans"/>
    <n v="2"/>
    <n v="1500"/>
    <n v="3000"/>
    <n v="0"/>
    <n v="1500"/>
    <x v="0"/>
    <x v="4"/>
    <x v="0"/>
  </r>
  <r>
    <s v="ORD1066"/>
    <s v="CU038"/>
    <s v="Pooja Singh"/>
    <d v="2024-03-24T00:00:00"/>
    <x v="11"/>
    <x v="2"/>
    <s v="Delhi"/>
    <x v="2"/>
    <s v="Smartphone"/>
    <n v="5"/>
    <n v="18000"/>
    <n v="81000"/>
    <n v="0.1"/>
    <n v="10800"/>
    <x v="0"/>
    <x v="3"/>
    <x v="1"/>
  </r>
  <r>
    <s v="ORD1067"/>
    <s v="CU001"/>
    <s v="Dev Nair"/>
    <d v="2024-05-21T00:00:00"/>
    <x v="8"/>
    <x v="3"/>
    <s v="Goa"/>
    <x v="1"/>
    <s v="Non-Stick Cookware"/>
    <n v="4"/>
    <n v="1800"/>
    <n v="6840"/>
    <n v="0.05"/>
    <n v="2664"/>
    <x v="2"/>
    <x v="3"/>
    <x v="0"/>
  </r>
  <r>
    <s v="ORD1068"/>
    <s v="CU040"/>
    <s v="Rohan Nair"/>
    <d v="2024-07-09T00:00:00"/>
    <x v="0"/>
    <x v="1"/>
    <s v="Kerala"/>
    <x v="4"/>
    <s v="Lipstick Set"/>
    <n v="4"/>
    <n v="650"/>
    <n v="2080"/>
    <n v="0.2"/>
    <n v="988"/>
    <x v="5"/>
    <x v="4"/>
    <x v="0"/>
  </r>
  <r>
    <s v="ORD1069"/>
    <s v="CU025"/>
    <s v="Pooja Iyer"/>
    <d v="2024-09-10T00:00:00"/>
    <x v="3"/>
    <x v="2"/>
    <s v="Uttar Pradesh"/>
    <x v="1"/>
    <s v="LED Table Lamp"/>
    <n v="4"/>
    <n v="950"/>
    <n v="3800"/>
    <n v="0"/>
    <n v="1824"/>
    <x v="5"/>
    <x v="1"/>
    <x v="0"/>
  </r>
  <r>
    <s v="ORD1070"/>
    <s v="CU025"/>
    <s v="Pooja Iyer"/>
    <d v="2024-09-04T00:00:00"/>
    <x v="3"/>
    <x v="3"/>
    <s v="Goa"/>
    <x v="1"/>
    <s v="Mixer Grinder"/>
    <n v="4"/>
    <n v="3200"/>
    <n v="11520"/>
    <n v="0.1"/>
    <n v="3200"/>
    <x v="4"/>
    <x v="0"/>
    <x v="0"/>
  </r>
  <r>
    <s v="ORD1071"/>
    <s v="CU030"/>
    <s v="Pooja Joshi"/>
    <d v="2024-04-15T00:00:00"/>
    <x v="6"/>
    <x v="2"/>
    <s v="Punjab"/>
    <x v="2"/>
    <s v="Smartphone"/>
    <n v="1"/>
    <n v="18000"/>
    <n v="14400"/>
    <n v="0.2"/>
    <n v="360"/>
    <x v="1"/>
    <x v="4"/>
    <x v="0"/>
  </r>
  <r>
    <s v="ORD1072"/>
    <s v="CU026"/>
    <s v="Meera Verma"/>
    <d v="2024-03-10T00:00:00"/>
    <x v="11"/>
    <x v="2"/>
    <s v="Punjab"/>
    <x v="2"/>
    <s v="Wireless Headphones"/>
    <n v="5"/>
    <n v="2500"/>
    <n v="10625"/>
    <n v="0.15"/>
    <n v="2875"/>
    <x v="4"/>
    <x v="4"/>
    <x v="0"/>
  </r>
  <r>
    <s v="ORD1073"/>
    <s v="CU038"/>
    <s v="Pooja Singh"/>
    <d v="2024-11-30T00:00:00"/>
    <x v="2"/>
    <x v="3"/>
    <s v="Gujarat"/>
    <x v="0"/>
    <s v="Yoga Mat"/>
    <n v="3"/>
    <n v="1100"/>
    <n v="3300"/>
    <n v="0"/>
    <n v="1650"/>
    <x v="1"/>
    <x v="4"/>
    <x v="1"/>
  </r>
  <r>
    <s v="ORD1074"/>
    <s v="CU011"/>
    <s v="Dev Sharma"/>
    <d v="2024-10-16T00:00:00"/>
    <x v="1"/>
    <x v="1"/>
    <s v="Karnataka"/>
    <x v="0"/>
    <s v="Dumbbell Set"/>
    <n v="5"/>
    <n v="2800"/>
    <n v="14000"/>
    <n v="0"/>
    <n v="4760"/>
    <x v="3"/>
    <x v="3"/>
    <x v="0"/>
  </r>
  <r>
    <s v="ORD1075"/>
    <s v="CU019"/>
    <s v="Tara Gupta"/>
    <d v="2024-12-13T00:00:00"/>
    <x v="4"/>
    <x v="2"/>
    <s v="Haryana"/>
    <x v="0"/>
    <s v="Yoga Mat"/>
    <n v="4"/>
    <n v="1100"/>
    <n v="3960"/>
    <n v="0.1"/>
    <n v="1760"/>
    <x v="1"/>
    <x v="0"/>
    <x v="3"/>
  </r>
  <r>
    <s v="ORD1076"/>
    <s v="CU021"/>
    <s v="Yash Gupta"/>
    <d v="2024-01-07T00:00:00"/>
    <x v="9"/>
    <x v="1"/>
    <s v="Kerala"/>
    <x v="0"/>
    <s v="Cricket Bat"/>
    <n v="4"/>
    <n v="1900"/>
    <n v="6840"/>
    <n v="0.1"/>
    <n v="2280"/>
    <x v="4"/>
    <x v="4"/>
    <x v="0"/>
  </r>
  <r>
    <s v="ORD1077"/>
    <s v="CU038"/>
    <s v="Pooja Singh"/>
    <d v="2024-01-01T00:00:00"/>
    <x v="9"/>
    <x v="0"/>
    <s v="Odisha"/>
    <x v="0"/>
    <s v="Yoga Mat"/>
    <n v="2"/>
    <n v="1100"/>
    <n v="1870"/>
    <n v="0.15"/>
    <n v="770"/>
    <x v="3"/>
    <x v="2"/>
    <x v="0"/>
  </r>
  <r>
    <s v="ORD1078"/>
    <s v="CU012"/>
    <s v="Karan Sharma"/>
    <d v="2024-03-28T00:00:00"/>
    <x v="11"/>
    <x v="1"/>
    <s v="Karnataka"/>
    <x v="2"/>
    <s v="Smartphone"/>
    <n v="2"/>
    <n v="18000"/>
    <n v="32400"/>
    <n v="0.1"/>
    <n v="4320"/>
    <x v="1"/>
    <x v="0"/>
    <x v="0"/>
  </r>
  <r>
    <s v="ORD1079"/>
    <s v="CU018"/>
    <s v="Tara Joshi"/>
    <d v="2024-04-28T00:00:00"/>
    <x v="6"/>
    <x v="0"/>
    <s v="Assam"/>
    <x v="0"/>
    <s v="Dumbbell Set"/>
    <n v="2"/>
    <n v="2800"/>
    <n v="5040"/>
    <n v="0.1"/>
    <n v="1344"/>
    <x v="3"/>
    <x v="3"/>
    <x v="0"/>
  </r>
  <r>
    <s v="ORD1080"/>
    <s v="CU036"/>
    <s v="Aarav Gupta"/>
    <d v="2024-03-21T00:00:00"/>
    <x v="11"/>
    <x v="2"/>
    <s v="Haryana"/>
    <x v="4"/>
    <s v="Face Serum"/>
    <n v="2"/>
    <n v="1200"/>
    <n v="2280"/>
    <n v="0.05"/>
    <n v="1320"/>
    <x v="1"/>
    <x v="4"/>
    <x v="0"/>
  </r>
  <r>
    <s v="ORD1081"/>
    <s v="CU013"/>
    <s v="Riya Reddy"/>
    <d v="2024-05-11T00:00:00"/>
    <x v="8"/>
    <x v="0"/>
    <s v="Bihar"/>
    <x v="4"/>
    <s v="Perfume"/>
    <n v="2"/>
    <n v="2400"/>
    <n v="4800"/>
    <n v="0"/>
    <n v="2496"/>
    <x v="2"/>
    <x v="4"/>
    <x v="3"/>
  </r>
  <r>
    <s v="ORD1082"/>
    <s v="CU038"/>
    <s v="Pooja Singh"/>
    <d v="2024-07-10T00:00:00"/>
    <x v="0"/>
    <x v="1"/>
    <s v="Tamil Nadu"/>
    <x v="0"/>
    <s v="Dumbbell Set"/>
    <n v="4"/>
    <n v="2800"/>
    <n v="10080"/>
    <n v="0.1"/>
    <n v="2688"/>
    <x v="1"/>
    <x v="3"/>
    <x v="0"/>
  </r>
  <r>
    <s v="ORD1083"/>
    <s v="CU005"/>
    <s v="Arjun Gupta"/>
    <d v="2024-12-03T00:00:00"/>
    <x v="4"/>
    <x v="1"/>
    <s v="Karnataka"/>
    <x v="2"/>
    <s v="Laptop"/>
    <n v="2"/>
    <n v="52000"/>
    <n v="98800"/>
    <n v="0.05"/>
    <n v="13520"/>
    <x v="2"/>
    <x v="1"/>
    <x v="0"/>
  </r>
  <r>
    <s v="ORD1084"/>
    <s v="CU038"/>
    <s v="Pooja Singh"/>
    <d v="2024-04-03T00:00:00"/>
    <x v="6"/>
    <x v="3"/>
    <s v="Goa"/>
    <x v="2"/>
    <s v="Laptop"/>
    <n v="4"/>
    <n v="52000"/>
    <n v="208000"/>
    <n v="0"/>
    <n v="37440"/>
    <x v="1"/>
    <x v="2"/>
    <x v="1"/>
  </r>
  <r>
    <s v="ORD1085"/>
    <s v="CU001"/>
    <s v="Dev Nair"/>
    <d v="2024-09-25T00:00:00"/>
    <x v="3"/>
    <x v="2"/>
    <s v="Punjab"/>
    <x v="3"/>
    <s v="Cotton T-Shirt"/>
    <n v="5"/>
    <n v="799"/>
    <n v="3595.5"/>
    <n v="0.1"/>
    <n v="1797.75"/>
    <x v="3"/>
    <x v="4"/>
    <x v="0"/>
  </r>
  <r>
    <s v="ORD1086"/>
    <s v="CU006"/>
    <s v="Arjun Reddy"/>
    <d v="2024-01-26T00:00:00"/>
    <x v="9"/>
    <x v="0"/>
    <s v="Odisha"/>
    <x v="4"/>
    <s v="Perfume"/>
    <n v="3"/>
    <n v="2400"/>
    <n v="6120"/>
    <n v="0.15"/>
    <n v="2664"/>
    <x v="1"/>
    <x v="0"/>
    <x v="2"/>
  </r>
  <r>
    <s v="ORD1087"/>
    <s v="CU014"/>
    <s v="Sahil Verma"/>
    <d v="2024-05-10T00:00:00"/>
    <x v="8"/>
    <x v="1"/>
    <s v="Kerala"/>
    <x v="2"/>
    <s v="Wireless Headphones"/>
    <n v="5"/>
    <n v="2500"/>
    <n v="10625"/>
    <n v="0.15"/>
    <n v="2875"/>
    <x v="2"/>
    <x v="2"/>
    <x v="2"/>
  </r>
  <r>
    <s v="ORD1088"/>
    <s v="CU016"/>
    <s v="Riya Sharma"/>
    <d v="2024-04-25T00:00:00"/>
    <x v="6"/>
    <x v="1"/>
    <s v="Kerala"/>
    <x v="1"/>
    <s v="Non-Stick Cookware"/>
    <n v="1"/>
    <n v="1800"/>
    <n v="1710"/>
    <n v="0.05"/>
    <n v="666"/>
    <x v="4"/>
    <x v="4"/>
    <x v="0"/>
  </r>
  <r>
    <s v="ORD1089"/>
    <s v="CU021"/>
    <s v="Yash Gupta"/>
    <d v="2024-06-18T00:00:00"/>
    <x v="5"/>
    <x v="1"/>
    <s v="Karnataka"/>
    <x v="0"/>
    <s v="Yoga Mat"/>
    <n v="2"/>
    <n v="1100"/>
    <n v="1980"/>
    <n v="0.1"/>
    <n v="880"/>
    <x v="2"/>
    <x v="4"/>
    <x v="0"/>
  </r>
  <r>
    <s v="ORD1090"/>
    <s v="CU001"/>
    <s v="Dev Nair"/>
    <d v="2024-11-19T00:00:00"/>
    <x v="2"/>
    <x v="0"/>
    <s v="West Bengal"/>
    <x v="1"/>
    <s v="Mixer Grinder"/>
    <n v="4"/>
    <n v="3200"/>
    <n v="10880"/>
    <n v="0.15"/>
    <n v="2560"/>
    <x v="1"/>
    <x v="1"/>
    <x v="0"/>
  </r>
  <r>
    <s v="ORD1091"/>
    <s v="CU010"/>
    <s v="Diya Gupta"/>
    <d v="2024-10-05T00:00:00"/>
    <x v="1"/>
    <x v="1"/>
    <s v="Kerala"/>
    <x v="0"/>
    <s v="Cricket Bat"/>
    <n v="1"/>
    <n v="1900"/>
    <n v="1710"/>
    <n v="0.1"/>
    <n v="570"/>
    <x v="5"/>
    <x v="0"/>
    <x v="0"/>
  </r>
  <r>
    <s v="ORD1092"/>
    <s v="CU011"/>
    <s v="Dev Sharma"/>
    <d v="2024-09-22T00:00:00"/>
    <x v="3"/>
    <x v="0"/>
    <s v="Odisha"/>
    <x v="0"/>
    <s v="Yoga Mat"/>
    <n v="4"/>
    <n v="1100"/>
    <n v="3960"/>
    <n v="0.1"/>
    <n v="1760"/>
    <x v="3"/>
    <x v="4"/>
    <x v="0"/>
  </r>
  <r>
    <s v="ORD1093"/>
    <s v="CU015"/>
    <s v="Riya Mehta"/>
    <d v="2024-07-09T00:00:00"/>
    <x v="0"/>
    <x v="1"/>
    <s v="Kerala"/>
    <x v="3"/>
    <s v="Cotton T-Shirt"/>
    <n v="1"/>
    <n v="799"/>
    <n v="719.1"/>
    <n v="0.1"/>
    <n v="359.55"/>
    <x v="4"/>
    <x v="4"/>
    <x v="0"/>
  </r>
  <r>
    <s v="ORD1094"/>
    <s v="CU012"/>
    <s v="Karan Sharma"/>
    <d v="2024-10-26T00:00:00"/>
    <x v="1"/>
    <x v="2"/>
    <s v="Punjab"/>
    <x v="2"/>
    <s v="Wireless Headphones"/>
    <n v="2"/>
    <n v="2500"/>
    <n v="4500"/>
    <n v="0.1"/>
    <n v="1400"/>
    <x v="4"/>
    <x v="1"/>
    <x v="0"/>
  </r>
  <r>
    <s v="ORD1095"/>
    <s v="CU024"/>
    <s v="Sahil Khan"/>
    <d v="2024-04-02T00:00:00"/>
    <x v="6"/>
    <x v="3"/>
    <s v="Gujarat"/>
    <x v="2"/>
    <s v="Wireless Headphones"/>
    <n v="3"/>
    <n v="2500"/>
    <n v="7500"/>
    <n v="0"/>
    <n v="2850"/>
    <x v="3"/>
    <x v="0"/>
    <x v="3"/>
  </r>
  <r>
    <s v="ORD1096"/>
    <s v="CU031"/>
    <s v="Isha Mehta"/>
    <d v="2024-03-29T00:00:00"/>
    <x v="11"/>
    <x v="2"/>
    <s v="Uttar Pradesh"/>
    <x v="2"/>
    <s v="Smartphone"/>
    <n v="5"/>
    <n v="18000"/>
    <n v="81000"/>
    <n v="0.1"/>
    <n v="10800"/>
    <x v="4"/>
    <x v="4"/>
    <x v="3"/>
  </r>
  <r>
    <s v="ORD1097"/>
    <s v="CU001"/>
    <s v="Dev Nair"/>
    <d v="2024-02-14T00:00:00"/>
    <x v="10"/>
    <x v="3"/>
    <s v="Maharashtra"/>
    <x v="1"/>
    <s v="Mixer Grinder"/>
    <n v="3"/>
    <n v="3200"/>
    <n v="9600"/>
    <n v="0"/>
    <n v="3360"/>
    <x v="0"/>
    <x v="2"/>
    <x v="0"/>
  </r>
  <r>
    <s v="ORD1098"/>
    <s v="CU039"/>
    <s v="Aarav Singh"/>
    <d v="2024-05-23T00:00:00"/>
    <x v="8"/>
    <x v="0"/>
    <s v="Odisha"/>
    <x v="0"/>
    <s v="Cricket Bat"/>
    <n v="5"/>
    <n v="1900"/>
    <n v="7600"/>
    <n v="0.2"/>
    <n v="1900"/>
    <x v="1"/>
    <x v="2"/>
    <x v="0"/>
  </r>
  <r>
    <s v="ORD1099"/>
    <s v="CU019"/>
    <s v="Tara Gupta"/>
    <d v="2024-03-23T00:00:00"/>
    <x v="11"/>
    <x v="1"/>
    <s v="Tamil Nadu"/>
    <x v="1"/>
    <s v="Mixer Grinder"/>
    <n v="4"/>
    <n v="3200"/>
    <n v="11520"/>
    <n v="0.1"/>
    <n v="3200"/>
    <x v="2"/>
    <x v="1"/>
    <x v="2"/>
  </r>
  <r>
    <s v="ORD1100"/>
    <s v="CU030"/>
    <s v="Pooja Joshi"/>
    <d v="2024-12-20T00:00:00"/>
    <x v="4"/>
    <x v="3"/>
    <s v="Goa"/>
    <x v="0"/>
    <s v="Cricket Bat"/>
    <n v="2"/>
    <n v="1900"/>
    <n v="3420"/>
    <n v="0.1"/>
    <n v="1140"/>
    <x v="4"/>
    <x v="2"/>
    <x v="0"/>
  </r>
  <r>
    <s v="ORD1101"/>
    <s v="CU007"/>
    <s v="Aarav Das"/>
    <d v="2024-04-02T00:00:00"/>
    <x v="6"/>
    <x v="2"/>
    <s v="Punjab"/>
    <x v="4"/>
    <s v="Perfume"/>
    <n v="1"/>
    <n v="2400"/>
    <n v="2160"/>
    <n v="0.1"/>
    <n v="1008"/>
    <x v="5"/>
    <x v="4"/>
    <x v="0"/>
  </r>
  <r>
    <s v="ORD1102"/>
    <s v="CU016"/>
    <s v="Riya Sharma"/>
    <d v="2024-07-03T00:00:00"/>
    <x v="0"/>
    <x v="2"/>
    <s v="Punjab"/>
    <x v="0"/>
    <s v="Dumbbell Set"/>
    <n v="2"/>
    <n v="2800"/>
    <n v="5040"/>
    <n v="0.1"/>
    <n v="1344"/>
    <x v="4"/>
    <x v="4"/>
    <x v="1"/>
  </r>
  <r>
    <s v="ORD1103"/>
    <s v="CU003"/>
    <s v="Aarav Singh"/>
    <d v="2024-09-24T00:00:00"/>
    <x v="3"/>
    <x v="2"/>
    <s v="Punjab"/>
    <x v="2"/>
    <s v="Laptop"/>
    <n v="2"/>
    <n v="52000"/>
    <n v="93600"/>
    <n v="0.1"/>
    <n v="8320"/>
    <x v="1"/>
    <x v="2"/>
    <x v="0"/>
  </r>
  <r>
    <s v="ORD1104"/>
    <s v="CU001"/>
    <s v="Dev Nair"/>
    <d v="2024-07-29T00:00:00"/>
    <x v="0"/>
    <x v="1"/>
    <s v="Tamil Nadu"/>
    <x v="0"/>
    <s v="Dumbbell Set"/>
    <n v="1"/>
    <n v="2800"/>
    <n v="2520"/>
    <n v="0.1"/>
    <n v="672"/>
    <x v="5"/>
    <x v="2"/>
    <x v="0"/>
  </r>
  <r>
    <s v="ORD1105"/>
    <s v="CU010"/>
    <s v="Diya Gupta"/>
    <d v="2024-06-20T00:00:00"/>
    <x v="5"/>
    <x v="2"/>
    <s v="Punjab"/>
    <x v="3"/>
    <s v="Denim Jeans"/>
    <n v="4"/>
    <n v="1500"/>
    <n v="5700"/>
    <n v="0.05"/>
    <n v="2700"/>
    <x v="5"/>
    <x v="3"/>
    <x v="3"/>
  </r>
  <r>
    <s v="ORD1106"/>
    <s v="CU020"/>
    <s v="Isha Iyer"/>
    <d v="2024-08-11T00:00:00"/>
    <x v="7"/>
    <x v="2"/>
    <s v="Punjab"/>
    <x v="0"/>
    <s v="Dumbbell Set"/>
    <n v="1"/>
    <n v="2800"/>
    <n v="2660"/>
    <n v="0.05"/>
    <n v="812"/>
    <x v="1"/>
    <x v="0"/>
    <x v="0"/>
  </r>
  <r>
    <s v="ORD1107"/>
    <s v="CU001"/>
    <s v="Dev Nair"/>
    <d v="2024-12-18T00:00:00"/>
    <x v="4"/>
    <x v="2"/>
    <s v="Uttar Pradesh"/>
    <x v="4"/>
    <s v="Lipstick Set"/>
    <n v="5"/>
    <n v="650"/>
    <n v="3087.5"/>
    <n v="0.05"/>
    <n v="1722.5"/>
    <x v="5"/>
    <x v="3"/>
    <x v="0"/>
  </r>
  <r>
    <s v="ORD1108"/>
    <s v="CU029"/>
    <s v="Tara Singh"/>
    <d v="2024-05-17T00:00:00"/>
    <x v="8"/>
    <x v="0"/>
    <s v="Bihar"/>
    <x v="1"/>
    <s v="Non-Stick Cookware"/>
    <n v="3"/>
    <n v="1800"/>
    <n v="4320"/>
    <n v="0.2"/>
    <n v="1188"/>
    <x v="0"/>
    <x v="0"/>
    <x v="0"/>
  </r>
  <r>
    <s v="ORD1109"/>
    <s v="CU005"/>
    <s v="Arjun Gupta"/>
    <d v="2024-03-01T00:00:00"/>
    <x v="11"/>
    <x v="0"/>
    <s v="West Bengal"/>
    <x v="3"/>
    <s v="Running Shoes"/>
    <n v="4"/>
    <n v="2200"/>
    <n v="8360"/>
    <n v="0.05"/>
    <n v="3520"/>
    <x v="1"/>
    <x v="2"/>
    <x v="1"/>
  </r>
  <r>
    <s v="ORD1110"/>
    <s v="CU039"/>
    <s v="Aarav Singh"/>
    <d v="2024-02-22T00:00:00"/>
    <x v="10"/>
    <x v="2"/>
    <s v="Punjab"/>
    <x v="0"/>
    <s v="Yoga Mat"/>
    <n v="1"/>
    <n v="1100"/>
    <n v="990"/>
    <n v="0.1"/>
    <n v="440"/>
    <x v="5"/>
    <x v="4"/>
    <x v="3"/>
  </r>
  <r>
    <s v="ORD1111"/>
    <s v="CU003"/>
    <s v="Aarav Singh"/>
    <d v="2024-09-24T00:00:00"/>
    <x v="3"/>
    <x v="1"/>
    <s v="Kerala"/>
    <x v="1"/>
    <s v="LED Table Lamp"/>
    <n v="3"/>
    <n v="950"/>
    <n v="2280"/>
    <n v="0.2"/>
    <n v="798"/>
    <x v="5"/>
    <x v="3"/>
    <x v="0"/>
  </r>
  <r>
    <s v="ORD1112"/>
    <s v="CU029"/>
    <s v="Tara Singh"/>
    <d v="2024-07-20T00:00:00"/>
    <x v="0"/>
    <x v="2"/>
    <s v="Punjab"/>
    <x v="1"/>
    <s v="Non-Stick Cookware"/>
    <n v="2"/>
    <n v="1800"/>
    <n v="3240"/>
    <n v="0.1"/>
    <n v="1152"/>
    <x v="0"/>
    <x v="3"/>
    <x v="0"/>
  </r>
  <r>
    <s v="ORD1113"/>
    <s v="CU001"/>
    <s v="Dev Nair"/>
    <d v="2024-11-15T00:00:00"/>
    <x v="2"/>
    <x v="0"/>
    <s v="Odisha"/>
    <x v="2"/>
    <s v="Laptop"/>
    <n v="3"/>
    <n v="52000"/>
    <n v="132600"/>
    <n v="0.15"/>
    <n v="4680"/>
    <x v="3"/>
    <x v="1"/>
    <x v="3"/>
  </r>
  <r>
    <s v="ORD1114"/>
    <s v="CU011"/>
    <s v="Dev Sharma"/>
    <d v="2024-04-06T00:00:00"/>
    <x v="6"/>
    <x v="3"/>
    <s v="Goa"/>
    <x v="1"/>
    <s v="LED Table Lamp"/>
    <n v="5"/>
    <n v="950"/>
    <n v="3800"/>
    <n v="0.2"/>
    <n v="1330"/>
    <x v="3"/>
    <x v="1"/>
    <x v="0"/>
  </r>
  <r>
    <s v="ORD1115"/>
    <s v="CU013"/>
    <s v="Riya Reddy"/>
    <d v="2024-07-23T00:00:00"/>
    <x v="0"/>
    <x v="3"/>
    <s v="Rajasthan"/>
    <x v="3"/>
    <s v="Running Shoes"/>
    <n v="4"/>
    <n v="2200"/>
    <n v="8800"/>
    <n v="0"/>
    <n v="3960"/>
    <x v="4"/>
    <x v="3"/>
    <x v="3"/>
  </r>
  <r>
    <s v="ORD1116"/>
    <s v="CU001"/>
    <s v="Dev Nair"/>
    <d v="2024-12-06T00:00:00"/>
    <x v="4"/>
    <x v="1"/>
    <s v="Kerala"/>
    <x v="2"/>
    <s v="Laptop"/>
    <n v="4"/>
    <n v="52000"/>
    <n v="187200"/>
    <n v="0.1"/>
    <n v="16640"/>
    <x v="5"/>
    <x v="1"/>
    <x v="1"/>
  </r>
  <r>
    <s v="ORD1117"/>
    <s v="CU036"/>
    <s v="Aarav Gupta"/>
    <d v="2024-08-09T00:00:00"/>
    <x v="7"/>
    <x v="3"/>
    <s v="Goa"/>
    <x v="4"/>
    <s v="Lipstick Set"/>
    <n v="3"/>
    <n v="650"/>
    <n v="1657.5"/>
    <n v="0.15"/>
    <n v="838.5"/>
    <x v="4"/>
    <x v="1"/>
    <x v="0"/>
  </r>
  <r>
    <s v="ORD1118"/>
    <s v="CU020"/>
    <s v="Isha Iyer"/>
    <d v="2024-10-05T00:00:00"/>
    <x v="1"/>
    <x v="3"/>
    <s v="Goa"/>
    <x v="1"/>
    <s v="Non-Stick Cookware"/>
    <n v="5"/>
    <n v="1800"/>
    <n v="9000"/>
    <n v="0"/>
    <n v="3780"/>
    <x v="2"/>
    <x v="1"/>
    <x v="1"/>
  </r>
  <r>
    <s v="ORD1119"/>
    <s v="CU019"/>
    <s v="Tara Gupta"/>
    <d v="2024-10-30T00:00:00"/>
    <x v="1"/>
    <x v="3"/>
    <s v="Gujarat"/>
    <x v="1"/>
    <s v="LED Table Lamp"/>
    <n v="5"/>
    <n v="950"/>
    <n v="4512.5"/>
    <n v="0.05"/>
    <n v="2042.5"/>
    <x v="3"/>
    <x v="2"/>
    <x v="1"/>
  </r>
  <r>
    <s v="ORD1120"/>
    <s v="CU025"/>
    <s v="Pooja Iyer"/>
    <d v="2024-11-01T00:00:00"/>
    <x v="2"/>
    <x v="3"/>
    <s v="Goa"/>
    <x v="3"/>
    <s v="Denim Jeans"/>
    <n v="4"/>
    <n v="1500"/>
    <n v="5400"/>
    <n v="0.1"/>
    <n v="2400"/>
    <x v="0"/>
    <x v="1"/>
    <x v="2"/>
  </r>
  <r>
    <s v="ORD1121"/>
    <s v="CU035"/>
    <s v="Isha Das"/>
    <d v="2024-10-25T00:00:00"/>
    <x v="1"/>
    <x v="0"/>
    <s v="Odisha"/>
    <x v="1"/>
    <s v="Non-Stick Cookware"/>
    <n v="1"/>
    <n v="1800"/>
    <n v="1620"/>
    <n v="0.1"/>
    <n v="576"/>
    <x v="1"/>
    <x v="3"/>
    <x v="3"/>
  </r>
  <r>
    <s v="ORD1122"/>
    <s v="CU007"/>
    <s v="Aarav Das"/>
    <d v="2024-04-20T00:00:00"/>
    <x v="6"/>
    <x v="1"/>
    <s v="Karnataka"/>
    <x v="1"/>
    <s v="Non-Stick Cookware"/>
    <n v="4"/>
    <n v="1800"/>
    <n v="6120"/>
    <n v="0.15"/>
    <n v="1944"/>
    <x v="3"/>
    <x v="0"/>
    <x v="2"/>
  </r>
  <r>
    <s v="ORD1123"/>
    <s v="CU033"/>
    <s v="Riya Reddy"/>
    <d v="2024-01-27T00:00:00"/>
    <x v="9"/>
    <x v="0"/>
    <s v="West Bengal"/>
    <x v="4"/>
    <s v="Face Serum"/>
    <n v="2"/>
    <n v="1200"/>
    <n v="2280"/>
    <n v="0.05"/>
    <n v="1320"/>
    <x v="1"/>
    <x v="2"/>
    <x v="3"/>
  </r>
  <r>
    <s v="ORD1124"/>
    <s v="CU024"/>
    <s v="Sahil Khan"/>
    <d v="2024-05-18T00:00:00"/>
    <x v="8"/>
    <x v="0"/>
    <s v="Bihar"/>
    <x v="2"/>
    <s v="Smartphone"/>
    <n v="4"/>
    <n v="18000"/>
    <n v="72000"/>
    <n v="0"/>
    <n v="15840"/>
    <x v="0"/>
    <x v="2"/>
    <x v="0"/>
  </r>
  <r>
    <s v="ORD1125"/>
    <s v="CU031"/>
    <s v="Isha Mehta"/>
    <d v="2024-02-08T00:00:00"/>
    <x v="10"/>
    <x v="1"/>
    <s v="Tamil Nadu"/>
    <x v="2"/>
    <s v="Wireless Headphones"/>
    <n v="3"/>
    <n v="2500"/>
    <n v="7500"/>
    <n v="0"/>
    <n v="2850"/>
    <x v="3"/>
    <x v="4"/>
    <x v="0"/>
  </r>
  <r>
    <s v="ORD1126"/>
    <s v="CU039"/>
    <s v="Aarav Singh"/>
    <d v="2024-06-22T00:00:00"/>
    <x v="5"/>
    <x v="2"/>
    <s v="Uttar Pradesh"/>
    <x v="3"/>
    <s v="Running Shoes"/>
    <n v="4"/>
    <n v="2200"/>
    <n v="8800"/>
    <n v="0"/>
    <n v="3960"/>
    <x v="2"/>
    <x v="3"/>
    <x v="0"/>
  </r>
  <r>
    <s v="ORD1127"/>
    <s v="CU014"/>
    <s v="Sahil Verma"/>
    <d v="2024-01-14T00:00:00"/>
    <x v="9"/>
    <x v="3"/>
    <s v="Gujarat"/>
    <x v="0"/>
    <s v="Yoga Mat"/>
    <n v="2"/>
    <n v="1100"/>
    <n v="2200"/>
    <n v="0"/>
    <n v="1100"/>
    <x v="1"/>
    <x v="3"/>
    <x v="0"/>
  </r>
  <r>
    <s v="ORD1128"/>
    <s v="CU009"/>
    <s v="Isha Singh"/>
    <d v="2024-01-10T00:00:00"/>
    <x v="9"/>
    <x v="2"/>
    <s v="Punjab"/>
    <x v="3"/>
    <s v="Cotton T-Shirt"/>
    <n v="1"/>
    <n v="799"/>
    <n v="639.20000000000005"/>
    <n v="0.2"/>
    <n v="279.64999999999998"/>
    <x v="2"/>
    <x v="3"/>
    <x v="0"/>
  </r>
  <r>
    <s v="ORD1129"/>
    <s v="CU012"/>
    <s v="Karan Sharma"/>
    <d v="2024-03-21T00:00:00"/>
    <x v="11"/>
    <x v="0"/>
    <s v="Odisha"/>
    <x v="4"/>
    <s v="Face Serum"/>
    <n v="1"/>
    <n v="1200"/>
    <n v="1080"/>
    <n v="0.1"/>
    <n v="600"/>
    <x v="1"/>
    <x v="4"/>
    <x v="0"/>
  </r>
  <r>
    <s v="ORD1130"/>
    <s v="CU012"/>
    <s v="Karan Sharma"/>
    <d v="2024-01-05T00:00:00"/>
    <x v="9"/>
    <x v="2"/>
    <s v="Haryana"/>
    <x v="0"/>
    <s v="Dumbbell Set"/>
    <n v="2"/>
    <n v="2800"/>
    <n v="4760"/>
    <n v="0.15"/>
    <n v="1064"/>
    <x v="4"/>
    <x v="0"/>
    <x v="0"/>
  </r>
  <r>
    <s v="ORD1131"/>
    <s v="CU018"/>
    <s v="Tara Joshi"/>
    <d v="2024-07-24T00:00:00"/>
    <x v="0"/>
    <x v="0"/>
    <s v="West Bengal"/>
    <x v="1"/>
    <s v="Non-Stick Cookware"/>
    <n v="4"/>
    <n v="1800"/>
    <n v="7200"/>
    <n v="0"/>
    <n v="3024"/>
    <x v="2"/>
    <x v="2"/>
    <x v="0"/>
  </r>
  <r>
    <s v="ORD1132"/>
    <s v="CU005"/>
    <s v="Arjun Gupta"/>
    <d v="2024-07-14T00:00:00"/>
    <x v="0"/>
    <x v="1"/>
    <s v="Tamil Nadu"/>
    <x v="1"/>
    <s v="Non-Stick Cookware"/>
    <n v="1"/>
    <n v="1800"/>
    <n v="1800"/>
    <n v="0"/>
    <n v="756"/>
    <x v="2"/>
    <x v="3"/>
    <x v="2"/>
  </r>
  <r>
    <s v="ORD1133"/>
    <s v="CU030"/>
    <s v="Pooja Joshi"/>
    <d v="2024-03-30T00:00:00"/>
    <x v="11"/>
    <x v="0"/>
    <s v="Bihar"/>
    <x v="1"/>
    <s v="Mixer Grinder"/>
    <n v="4"/>
    <n v="3200"/>
    <n v="11520"/>
    <n v="0.1"/>
    <n v="3200"/>
    <x v="2"/>
    <x v="3"/>
    <x v="0"/>
  </r>
  <r>
    <s v="ORD1134"/>
    <s v="CU006"/>
    <s v="Arjun Reddy"/>
    <d v="2024-01-28T00:00:00"/>
    <x v="9"/>
    <x v="1"/>
    <s v="Telangana"/>
    <x v="1"/>
    <s v="LED Table Lamp"/>
    <n v="4"/>
    <n v="950"/>
    <n v="3230"/>
    <n v="0.15"/>
    <n v="1254"/>
    <x v="0"/>
    <x v="1"/>
    <x v="0"/>
  </r>
  <r>
    <s v="ORD1135"/>
    <s v="CU039"/>
    <s v="Aarav Singh"/>
    <d v="2024-12-08T00:00:00"/>
    <x v="4"/>
    <x v="0"/>
    <s v="Odisha"/>
    <x v="1"/>
    <s v="LED Table Lamp"/>
    <n v="5"/>
    <n v="950"/>
    <n v="4275"/>
    <n v="0.1"/>
    <n v="1805"/>
    <x v="5"/>
    <x v="1"/>
    <x v="2"/>
  </r>
  <r>
    <s v="ORD1136"/>
    <s v="CU020"/>
    <s v="Isha Iyer"/>
    <d v="2024-12-03T00:00:00"/>
    <x v="4"/>
    <x v="2"/>
    <s v="Uttar Pradesh"/>
    <x v="0"/>
    <s v="Cricket Bat"/>
    <n v="3"/>
    <n v="1900"/>
    <n v="5130"/>
    <n v="0.1"/>
    <n v="1710"/>
    <x v="5"/>
    <x v="4"/>
    <x v="0"/>
  </r>
  <r>
    <s v="ORD1137"/>
    <s v="CU021"/>
    <s v="Yash Gupta"/>
    <d v="2024-09-09T00:00:00"/>
    <x v="3"/>
    <x v="1"/>
    <s v="Kerala"/>
    <x v="0"/>
    <s v="Cricket Bat"/>
    <n v="3"/>
    <n v="1900"/>
    <n v="5130"/>
    <n v="0.1"/>
    <n v="1710"/>
    <x v="5"/>
    <x v="0"/>
    <x v="0"/>
  </r>
  <r>
    <s v="ORD1138"/>
    <s v="CU025"/>
    <s v="Pooja Iyer"/>
    <d v="2024-07-24T00:00:00"/>
    <x v="0"/>
    <x v="0"/>
    <s v="Bihar"/>
    <x v="2"/>
    <s v="Laptop"/>
    <n v="4"/>
    <n v="52000"/>
    <n v="176800"/>
    <n v="0.15"/>
    <n v="6240"/>
    <x v="1"/>
    <x v="2"/>
    <x v="1"/>
  </r>
  <r>
    <s v="ORD1139"/>
    <s v="CU007"/>
    <s v="Aarav Das"/>
    <d v="2024-08-01T00:00:00"/>
    <x v="7"/>
    <x v="0"/>
    <s v="Odisha"/>
    <x v="3"/>
    <s v="Denim Jeans"/>
    <n v="4"/>
    <n v="1500"/>
    <n v="5700"/>
    <n v="0.05"/>
    <n v="2700"/>
    <x v="5"/>
    <x v="2"/>
    <x v="0"/>
  </r>
  <r>
    <s v="ORD1140"/>
    <s v="CU027"/>
    <s v="Sahil Das"/>
    <d v="2024-06-28T00:00:00"/>
    <x v="5"/>
    <x v="1"/>
    <s v="Karnataka"/>
    <x v="4"/>
    <s v="Lipstick Set"/>
    <n v="1"/>
    <n v="650"/>
    <n v="650"/>
    <n v="0"/>
    <n v="377"/>
    <x v="1"/>
    <x v="2"/>
    <x v="0"/>
  </r>
  <r>
    <s v="ORD1141"/>
    <s v="CU014"/>
    <s v="Sahil Verma"/>
    <d v="2024-03-13T00:00:00"/>
    <x v="11"/>
    <x v="3"/>
    <s v="Gujarat"/>
    <x v="2"/>
    <s v="Laptop"/>
    <n v="4"/>
    <n v="52000"/>
    <n v="176800"/>
    <n v="0.15"/>
    <n v="6240"/>
    <x v="1"/>
    <x v="0"/>
    <x v="2"/>
  </r>
  <r>
    <s v="ORD1142"/>
    <s v="CU034"/>
    <s v="Aarav Mehta"/>
    <d v="2024-04-19T00:00:00"/>
    <x v="6"/>
    <x v="2"/>
    <s v="Haryana"/>
    <x v="1"/>
    <s v="Non-Stick Cookware"/>
    <n v="3"/>
    <n v="1800"/>
    <n v="4590"/>
    <n v="0.15"/>
    <n v="1458"/>
    <x v="4"/>
    <x v="2"/>
    <x v="3"/>
  </r>
  <r>
    <s v="ORD1143"/>
    <s v="CU039"/>
    <s v="Aarav Singh"/>
    <d v="2024-04-14T00:00:00"/>
    <x v="6"/>
    <x v="1"/>
    <s v="Karnataka"/>
    <x v="0"/>
    <s v="Yoga Mat"/>
    <n v="4"/>
    <n v="1100"/>
    <n v="3960"/>
    <n v="0.1"/>
    <n v="1760"/>
    <x v="0"/>
    <x v="4"/>
    <x v="0"/>
  </r>
  <r>
    <s v="ORD1144"/>
    <s v="CU038"/>
    <s v="Pooja Singh"/>
    <d v="2024-11-12T00:00:00"/>
    <x v="2"/>
    <x v="3"/>
    <s v="Goa"/>
    <x v="0"/>
    <s v="Cricket Bat"/>
    <n v="4"/>
    <n v="1900"/>
    <n v="6840"/>
    <n v="0.1"/>
    <n v="2280"/>
    <x v="3"/>
    <x v="2"/>
    <x v="0"/>
  </r>
  <r>
    <s v="ORD1145"/>
    <s v="CU030"/>
    <s v="Pooja Joshi"/>
    <d v="2024-09-20T00:00:00"/>
    <x v="3"/>
    <x v="3"/>
    <s v="Maharashtra"/>
    <x v="4"/>
    <s v="Perfume"/>
    <n v="4"/>
    <n v="2400"/>
    <n v="8160"/>
    <n v="0.15"/>
    <n v="3552"/>
    <x v="5"/>
    <x v="3"/>
    <x v="2"/>
  </r>
  <r>
    <s v="ORD1146"/>
    <s v="CU020"/>
    <s v="Isha Iyer"/>
    <d v="2024-08-08T00:00:00"/>
    <x v="7"/>
    <x v="3"/>
    <s v="Maharashtra"/>
    <x v="0"/>
    <s v="Yoga Mat"/>
    <n v="4"/>
    <n v="1100"/>
    <n v="3520"/>
    <n v="0.2"/>
    <n v="1320"/>
    <x v="2"/>
    <x v="2"/>
    <x v="0"/>
  </r>
  <r>
    <s v="ORD1147"/>
    <s v="CU017"/>
    <s v="Riya Gupta"/>
    <d v="2024-08-28T00:00:00"/>
    <x v="7"/>
    <x v="2"/>
    <s v="Uttar Pradesh"/>
    <x v="1"/>
    <s v="Non-Stick Cookware"/>
    <n v="5"/>
    <n v="1800"/>
    <n v="9000"/>
    <n v="0"/>
    <n v="3780"/>
    <x v="3"/>
    <x v="1"/>
    <x v="0"/>
  </r>
  <r>
    <s v="ORD1148"/>
    <s v="CU039"/>
    <s v="Aarav Singh"/>
    <d v="2024-07-18T00:00:00"/>
    <x v="0"/>
    <x v="3"/>
    <s v="Rajasthan"/>
    <x v="0"/>
    <s v="Dumbbell Set"/>
    <n v="2"/>
    <n v="2800"/>
    <n v="4480"/>
    <n v="0.2"/>
    <n v="784"/>
    <x v="2"/>
    <x v="1"/>
    <x v="0"/>
  </r>
  <r>
    <s v="ORD1149"/>
    <s v="CU039"/>
    <s v="Aarav Singh"/>
    <d v="2024-12-10T00:00:00"/>
    <x v="4"/>
    <x v="2"/>
    <s v="Uttar Pradesh"/>
    <x v="4"/>
    <s v="Lipstick Set"/>
    <n v="4"/>
    <n v="650"/>
    <n v="2080"/>
    <n v="0.2"/>
    <n v="988"/>
    <x v="2"/>
    <x v="0"/>
    <x v="3"/>
  </r>
  <r>
    <s v="ORD1150"/>
    <s v="CU010"/>
    <s v="Diya Gupta"/>
    <d v="2024-09-14T00:00:00"/>
    <x v="3"/>
    <x v="2"/>
    <s v="Haryana"/>
    <x v="3"/>
    <s v="Cotton T-Shirt"/>
    <n v="5"/>
    <n v="799"/>
    <n v="3196"/>
    <n v="0.2"/>
    <n v="1398.25"/>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D01559-72D1-457D-8804-B32B90660B90}" name="ptMonth"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Q1:R14" firstHeaderRow="1" firstDataRow="1" firstDataCol="1"/>
  <pivotFields count="17">
    <pivotField showAll="0"/>
    <pivotField showAll="0"/>
    <pivotField showAll="0"/>
    <pivotField numFmtId="164" showAll="0"/>
    <pivotField axis="axisRow" showAll="0">
      <items count="13">
        <item x="9"/>
        <item x="10"/>
        <item x="11"/>
        <item x="6"/>
        <item x="8"/>
        <item x="5"/>
        <item x="0"/>
        <item x="7"/>
        <item x="3"/>
        <item x="1"/>
        <item x="2"/>
        <item x="4"/>
        <item t="default"/>
      </items>
    </pivotField>
    <pivotField showAll="0">
      <items count="5">
        <item x="0"/>
        <item x="2"/>
        <item x="1"/>
        <item x="3"/>
        <item t="default"/>
      </items>
    </pivotField>
    <pivotField showAll="0"/>
    <pivotField showAll="0">
      <items count="6">
        <item x="4"/>
        <item x="2"/>
        <item x="3"/>
        <item x="1"/>
        <item x="0"/>
        <item t="default"/>
      </items>
    </pivotField>
    <pivotField showAll="0"/>
    <pivotField showAll="0"/>
    <pivotField numFmtId="3" showAll="0"/>
    <pivotField dataField="1" numFmtId="3" showAll="0"/>
    <pivotField numFmtId="165" showAll="0"/>
    <pivotField numFmtId="3" showAll="0"/>
    <pivotField showAll="0">
      <items count="7">
        <item x="4"/>
        <item x="1"/>
        <item x="3"/>
        <item x="0"/>
        <item x="5"/>
        <item x="2"/>
        <item t="default"/>
      </items>
    </pivotField>
    <pivotField showAll="0">
      <items count="6">
        <item x="1"/>
        <item x="2"/>
        <item x="4"/>
        <item x="0"/>
        <item x="3"/>
        <item t="default"/>
      </items>
    </pivotField>
    <pivotField showAll="0"/>
  </pivotFields>
  <rowFields count="1">
    <field x="4"/>
  </rowFields>
  <rowItems count="13">
    <i>
      <x/>
    </i>
    <i>
      <x v="1"/>
    </i>
    <i>
      <x v="2"/>
    </i>
    <i>
      <x v="3"/>
    </i>
    <i>
      <x v="4"/>
    </i>
    <i>
      <x v="5"/>
    </i>
    <i>
      <x v="6"/>
    </i>
    <i>
      <x v="7"/>
    </i>
    <i>
      <x v="8"/>
    </i>
    <i>
      <x v="9"/>
    </i>
    <i>
      <x v="10"/>
    </i>
    <i>
      <x v="11"/>
    </i>
    <i t="grand">
      <x/>
    </i>
  </rowItems>
  <colItems count="1">
    <i/>
  </colItems>
  <dataFields count="1">
    <dataField name="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9CE90-E3FB-4CE4-97C0-036DE7AFFC72}" name="ptDeliv"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M1:N6" firstHeaderRow="1" firstDataRow="1" firstDataCol="1"/>
  <pivotFields count="17">
    <pivotField dataField="1" showAll="0"/>
    <pivotField showAll="0"/>
    <pivotField showAll="0"/>
    <pivotField numFmtId="164" showAll="0"/>
    <pivotField showAll="0"/>
    <pivotField showAll="0">
      <items count="5">
        <item x="0"/>
        <item x="2"/>
        <item x="1"/>
        <item x="3"/>
        <item t="default"/>
      </items>
    </pivotField>
    <pivotField showAll="0"/>
    <pivotField showAll="0">
      <items count="6">
        <item x="4"/>
        <item x="2"/>
        <item x="3"/>
        <item x="1"/>
        <item x="0"/>
        <item t="default"/>
      </items>
    </pivotField>
    <pivotField showAll="0"/>
    <pivotField showAll="0"/>
    <pivotField numFmtId="3" showAll="0"/>
    <pivotField numFmtId="3" showAll="0"/>
    <pivotField numFmtId="165" showAll="0"/>
    <pivotField numFmtId="3" showAll="0"/>
    <pivotField showAll="0">
      <items count="7">
        <item x="4"/>
        <item x="1"/>
        <item x="3"/>
        <item x="0"/>
        <item x="5"/>
        <item x="2"/>
        <item t="default"/>
      </items>
    </pivotField>
    <pivotField showAll="0">
      <items count="6">
        <item x="1"/>
        <item x="2"/>
        <item x="4"/>
        <item x="0"/>
        <item x="3"/>
        <item t="default"/>
      </items>
    </pivotField>
    <pivotField axis="axisRow" showAll="0">
      <items count="5">
        <item x="2"/>
        <item x="0"/>
        <item x="1"/>
        <item x="3"/>
        <item t="default"/>
      </items>
    </pivotField>
  </pivotFields>
  <rowFields count="1">
    <field x="16"/>
  </rowFields>
  <rowItems count="5">
    <i>
      <x/>
    </i>
    <i>
      <x v="1"/>
    </i>
    <i>
      <x v="2"/>
    </i>
    <i>
      <x v="3"/>
    </i>
    <i t="grand">
      <x/>
    </i>
  </rowItems>
  <colItems count="1">
    <i/>
  </colItems>
  <dataFields count="1">
    <dataField name="Order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CB4B1D-5748-4434-B9C5-AD56E9A2FCBF}" name="ptRep"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I1:J8" firstHeaderRow="1" firstDataRow="1" firstDataCol="1"/>
  <pivotFields count="17">
    <pivotField showAll="0"/>
    <pivotField showAll="0"/>
    <pivotField showAll="0"/>
    <pivotField numFmtId="164" showAll="0"/>
    <pivotField showAll="0"/>
    <pivotField showAll="0">
      <items count="5">
        <item x="0"/>
        <item x="2"/>
        <item x="1"/>
        <item x="3"/>
        <item t="default"/>
      </items>
    </pivotField>
    <pivotField showAll="0"/>
    <pivotField showAll="0">
      <items count="6">
        <item x="4"/>
        <item x="2"/>
        <item x="3"/>
        <item x="1"/>
        <item x="0"/>
        <item t="default"/>
      </items>
    </pivotField>
    <pivotField showAll="0"/>
    <pivotField showAll="0"/>
    <pivotField numFmtId="3" showAll="0"/>
    <pivotField dataField="1" numFmtId="3" showAll="0"/>
    <pivotField numFmtId="165" showAll="0"/>
    <pivotField numFmtId="3" showAll="0"/>
    <pivotField axis="axisRow" showAll="0">
      <items count="7">
        <item x="4"/>
        <item x="1"/>
        <item x="3"/>
        <item x="0"/>
        <item x="5"/>
        <item x="2"/>
        <item t="default"/>
      </items>
    </pivotField>
    <pivotField showAll="0">
      <items count="6">
        <item x="1"/>
        <item x="2"/>
        <item x="4"/>
        <item x="0"/>
        <item x="3"/>
        <item t="default"/>
      </items>
    </pivotField>
    <pivotField showAll="0"/>
  </pivotFields>
  <rowFields count="1">
    <field x="14"/>
  </rowFields>
  <rowItems count="7">
    <i>
      <x/>
    </i>
    <i>
      <x v="1"/>
    </i>
    <i>
      <x v="2"/>
    </i>
    <i>
      <x v="3"/>
    </i>
    <i>
      <x v="4"/>
    </i>
    <i>
      <x v="5"/>
    </i>
    <i t="grand">
      <x/>
    </i>
  </rowItems>
  <colItems count="1">
    <i/>
  </colItems>
  <dataFields count="1">
    <dataField name="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54A22B-D6C4-4C93-99BB-64E97EB32A37}" name="ptCat"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E1:F7" firstHeaderRow="1" firstDataRow="1" firstDataCol="1"/>
  <pivotFields count="17">
    <pivotField showAll="0"/>
    <pivotField showAll="0"/>
    <pivotField showAll="0"/>
    <pivotField numFmtId="164" showAll="0"/>
    <pivotField showAll="0"/>
    <pivotField showAll="0">
      <items count="5">
        <item x="0"/>
        <item x="2"/>
        <item x="1"/>
        <item x="3"/>
        <item t="default"/>
      </items>
    </pivotField>
    <pivotField showAll="0"/>
    <pivotField axis="axisRow" showAll="0">
      <items count="6">
        <item x="4"/>
        <item x="2"/>
        <item x="3"/>
        <item x="1"/>
        <item x="0"/>
        <item t="default"/>
      </items>
    </pivotField>
    <pivotField showAll="0"/>
    <pivotField showAll="0"/>
    <pivotField numFmtId="3" showAll="0"/>
    <pivotField dataField="1" numFmtId="3" showAll="0"/>
    <pivotField numFmtId="165" showAll="0"/>
    <pivotField numFmtId="3" showAll="0"/>
    <pivotField showAll="0">
      <items count="7">
        <item x="4"/>
        <item x="1"/>
        <item x="3"/>
        <item x="0"/>
        <item x="5"/>
        <item x="2"/>
        <item t="default"/>
      </items>
    </pivotField>
    <pivotField showAll="0">
      <items count="6">
        <item x="1"/>
        <item x="2"/>
        <item x="4"/>
        <item x="0"/>
        <item x="3"/>
        <item t="default"/>
      </items>
    </pivotField>
    <pivotField showAll="0"/>
  </pivotFields>
  <rowFields count="1">
    <field x="7"/>
  </rowFields>
  <rowItems count="6">
    <i>
      <x/>
    </i>
    <i>
      <x v="1"/>
    </i>
    <i>
      <x v="2"/>
    </i>
    <i>
      <x v="3"/>
    </i>
    <i>
      <x v="4"/>
    </i>
    <i t="grand">
      <x/>
    </i>
  </rowItems>
  <colItems count="1">
    <i/>
  </colItems>
  <dataFields count="1">
    <dataField name="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D56293-1839-497C-A896-C5B0B0B62453}" name="ptRegion"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1:B6" firstHeaderRow="1" firstDataRow="1" firstDataCol="1"/>
  <pivotFields count="17">
    <pivotField showAll="0"/>
    <pivotField showAll="0"/>
    <pivotField showAll="0"/>
    <pivotField numFmtId="164" showAll="0"/>
    <pivotField showAll="0"/>
    <pivotField axis="axisRow" showAll="0">
      <items count="5">
        <item x="0"/>
        <item x="2"/>
        <item x="1"/>
        <item x="3"/>
        <item t="default"/>
      </items>
    </pivotField>
    <pivotField showAll="0"/>
    <pivotField showAll="0">
      <items count="6">
        <item x="4"/>
        <item x="2"/>
        <item x="3"/>
        <item x="1"/>
        <item x="0"/>
        <item t="default"/>
      </items>
    </pivotField>
    <pivotField showAll="0"/>
    <pivotField showAll="0"/>
    <pivotField numFmtId="3" showAll="0"/>
    <pivotField dataField="1" numFmtId="3" showAll="0"/>
    <pivotField numFmtId="165" showAll="0"/>
    <pivotField numFmtId="3" showAll="0"/>
    <pivotField showAll="0">
      <items count="7">
        <item x="4"/>
        <item x="1"/>
        <item x="3"/>
        <item x="0"/>
        <item x="5"/>
        <item x="2"/>
        <item t="default"/>
      </items>
    </pivotField>
    <pivotField showAll="0">
      <items count="6">
        <item x="1"/>
        <item x="2"/>
        <item x="4"/>
        <item x="0"/>
        <item x="3"/>
        <item t="default"/>
      </items>
    </pivotField>
    <pivotField showAll="0"/>
  </pivotFields>
  <rowFields count="1">
    <field x="5"/>
  </rowFields>
  <rowItems count="5">
    <i>
      <x/>
    </i>
    <i>
      <x v="1"/>
    </i>
    <i>
      <x v="2"/>
    </i>
    <i>
      <x v="3"/>
    </i>
    <i t="grand">
      <x/>
    </i>
  </rowItems>
  <colItems count="1">
    <i/>
  </colItems>
  <dataFields count="1">
    <dataField name="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E321C6-76AB-4DC9-A0D1-86781197ABA6}" sourceName="Region">
  <pivotTables>
    <pivotTable tabId="3" name="ptRegion"/>
    <pivotTable tabId="3" name="ptCat"/>
    <pivotTable tabId="3" name="ptRep"/>
    <pivotTable tabId="3" name="ptDeliv"/>
    <pivotTable tabId="3" name="ptMonth"/>
  </pivotTables>
  <data>
    <tabular pivotCacheId="684639365">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801EC71-8852-4D29-B21E-FFAD41CD7EF4}" sourceName="Product Category">
  <pivotTables>
    <pivotTable tabId="3" name="ptRegion"/>
    <pivotTable tabId="3" name="ptCat"/>
    <pivotTable tabId="3" name="ptRep"/>
    <pivotTable tabId="3" name="ptDeliv"/>
    <pivotTable tabId="3" name="ptMonth"/>
  </pivotTables>
  <data>
    <tabular pivotCacheId="684639365">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6FD1778-6700-433C-9C48-684B7C9D8BB4}" sourceName="Payment Method">
  <pivotTables>
    <pivotTable tabId="3" name="ptRegion"/>
    <pivotTable tabId="3" name="ptCat"/>
    <pivotTable tabId="3" name="ptRep"/>
    <pivotTable tabId="3" name="ptDeliv"/>
    <pivotTable tabId="3" name="ptMonth"/>
  </pivotTables>
  <data>
    <tabular pivotCacheId="684639365">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resentative" xr10:uid="{ED395219-C9E1-4EF7-8990-1F21EA3F185F}" sourceName="Sales Representative">
  <pivotTables>
    <pivotTable tabId="3" name="ptRegion"/>
    <pivotTable tabId="3" name="ptCat"/>
    <pivotTable tabId="3" name="ptRep"/>
    <pivotTable tabId="3" name="ptDeliv"/>
    <pivotTable tabId="3" name="ptMonth"/>
  </pivotTables>
  <data>
    <tabular pivotCacheId="684639365">
      <items count="6">
        <i x="4" s="1"/>
        <i x="1" s="1"/>
        <i x="3" s="1"/>
        <i x="0"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Region" xr10:uid="{D6018CD0-0F11-4993-8836-F13CE38AC9C8}" cache="Slicer_Region" caption="Region" rowHeight="234950"/>
  <slicer name="SL_Category" xr10:uid="{CF3B2C50-595A-44AB-AE0A-F64957CE6AF7}" cache="Slicer_Product_Category" caption="Product Category" rowHeight="234950"/>
  <slicer name="SL_Payment" xr10:uid="{0B7CC5CF-9AE1-4C46-8C4C-B6EF3913835E}" cache="Slicer_Payment_Method" caption="Payment Method" rowHeight="234950"/>
  <slicer name="SL_Rep" xr10:uid="{A4558534-34DB-4BAB-8B39-9CEF619FC29D}" cache="Slicer_Sales_Representative" caption="Sales Representativ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2905E-B2EB-4030-B17D-D44535FC6966}" name="tblSales" displayName="tblSales" ref="A1:Q151" totalsRowShown="0">
  <autoFilter ref="A1:Q151" xr:uid="{9F22905E-B2EB-4030-B17D-D44535FC6966}"/>
  <tableColumns count="17">
    <tableColumn id="1" xr3:uid="{ED127E67-89E8-4237-8F03-6D4A9E631A9A}" name="Order ID"/>
    <tableColumn id="2" xr3:uid="{3CDBCA5B-EBC0-43DE-A1AA-0BCE286F4BC8}" name="Customer ID"/>
    <tableColumn id="3" xr3:uid="{84CD3720-2231-4526-9F0B-EA769D06D78B}" name="Customer Name"/>
    <tableColumn id="4" xr3:uid="{BAB87750-E090-4746-BC93-2C425851C83D}" name="Order Date" dataDxfId="5"/>
    <tableColumn id="5" xr3:uid="{8D9AA8CE-8A35-4386-AE40-631418C3660B}" name="Order Month"/>
    <tableColumn id="6" xr3:uid="{74A60FB0-2F6F-4B8F-ABF4-4C18E3862E44}" name="Region"/>
    <tableColumn id="7" xr3:uid="{D030998E-4E89-487C-A579-CDF07869E327}" name="State"/>
    <tableColumn id="8" xr3:uid="{6A2E152D-B9BE-492D-A320-3AE5CDA62395}" name="Product Category"/>
    <tableColumn id="9" xr3:uid="{9A46DD1A-C2FD-4E26-A9D1-2356DB1B967D}" name="Product Name"/>
    <tableColumn id="10" xr3:uid="{0D0FE893-5357-4F69-A187-EA67B15C05B3}" name="Quantity Sold"/>
    <tableColumn id="11" xr3:uid="{7FB9909C-C843-40EA-9610-4B1A97BB6247}" name="Unit Price" dataDxfId="4"/>
    <tableColumn id="12" xr3:uid="{FFE01FCE-5ACC-44FB-B5DA-F00B9142FF73}" name="Sales Amount" dataDxfId="3"/>
    <tableColumn id="13" xr3:uid="{B1497E1B-B16C-4960-B035-3036D093612B}" name="Discount %" dataDxfId="2"/>
    <tableColumn id="14" xr3:uid="{EF9D1075-9743-4AF3-8F89-5154F85DFB2F}" name="Profit Amount" dataDxfId="1"/>
    <tableColumn id="15" xr3:uid="{F526BFED-D51F-4F45-9993-A7D83A357313}" name="Sales Representative"/>
    <tableColumn id="16" xr3:uid="{F51629EC-6D94-41C1-98F4-A0C883EC2B32}" name="Payment Method"/>
    <tableColumn id="17" xr3:uid="{4FF683B7-CA64-4674-9789-F99B09A2D821}" name="Delivery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B57848-03E3-401F-B334-09C9AB3753A2}" name="tblRaw" displayName="tblRaw" ref="A1:P158" totalsRowShown="0">
  <autoFilter ref="A1:P158" xr:uid="{0EB57848-03E3-401F-B334-09C9AB3753A2}"/>
  <tableColumns count="16">
    <tableColumn id="1" xr3:uid="{106D853B-8FDD-4530-BFD1-9AF56AFAAF44}" name="Order ID"/>
    <tableColumn id="2" xr3:uid="{548B8734-2551-4C34-BD0F-3FDA564C05E4}" name="Customer ID"/>
    <tableColumn id="3" xr3:uid="{5EF55E85-5A7C-44EA-ABB8-FAE28A5E6C56}" name="Customer Name"/>
    <tableColumn id="4" xr3:uid="{D2BA6671-667D-4334-BFCE-59742DDA0089}" name="Order Date" dataDxfId="0"/>
    <tableColumn id="5" xr3:uid="{C926B69A-5D80-48B8-9CB0-CA0D2740F5EE}" name="Region"/>
    <tableColumn id="6" xr3:uid="{AB73A0FE-256C-4E37-A4DA-2126E5EF8322}" name="State"/>
    <tableColumn id="7" xr3:uid="{20660E83-2906-458E-B260-569C00C4DDE9}" name="Product Category"/>
    <tableColumn id="8" xr3:uid="{FF10E504-EAF1-406A-9DBC-E2EC29466CC1}" name="Product Name"/>
    <tableColumn id="9" xr3:uid="{D8AB477D-9F68-4CA9-89E6-A453B3329D0C}" name="Quantity Sold"/>
    <tableColumn id="10" xr3:uid="{502F6292-F783-468D-95EE-1ED5F7BF8149}" name="Unit Price"/>
    <tableColumn id="11" xr3:uid="{ED5A5C43-A8A2-4557-A041-98533BD94054}" name="Sales Amount"/>
    <tableColumn id="12" xr3:uid="{80C4964C-DAA1-403D-8B4D-C45BB2AA22B4}" name="Discount %"/>
    <tableColumn id="13" xr3:uid="{DF93584B-A091-48ED-861D-3EE7D3ACF360}" name="Profit Amount"/>
    <tableColumn id="14" xr3:uid="{5DFF0A74-108D-467C-BD6B-77DEAC56E431}" name="Sales Representative"/>
    <tableColumn id="15" xr3:uid="{96AC60B8-BFCD-4AB0-9DBE-E0D6EB3DBFAB}" name="Payment Method"/>
    <tableColumn id="16" xr3:uid="{5B5BCF2B-63BA-45A8-BC8A-7FD69E2DB175}" name="Delivery Status"/>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3BBD-4B16-4E19-80CD-2E73ADC3914E}">
  <dimension ref="B2:P7"/>
  <sheetViews>
    <sheetView showGridLines="0" tabSelected="1" workbookViewId="0"/>
  </sheetViews>
  <sheetFormatPr defaultRowHeight="14.4" x14ac:dyDescent="0.3"/>
  <sheetData>
    <row r="2" spans="2:16" x14ac:dyDescent="0.3">
      <c r="B2" s="11" t="s">
        <v>357</v>
      </c>
      <c r="C2" s="12"/>
      <c r="D2" s="12"/>
      <c r="E2" s="12"/>
      <c r="F2" s="12"/>
      <c r="G2" s="12"/>
      <c r="H2" s="12"/>
      <c r="I2" s="12"/>
      <c r="J2" s="12"/>
      <c r="K2" s="12"/>
      <c r="L2" s="12"/>
      <c r="M2" s="12"/>
      <c r="N2" s="12"/>
      <c r="O2" s="12"/>
      <c r="P2" s="12"/>
    </row>
    <row r="3" spans="2:16" x14ac:dyDescent="0.3">
      <c r="B3" s="12"/>
      <c r="C3" s="12"/>
      <c r="D3" s="12"/>
      <c r="E3" s="12"/>
      <c r="F3" s="12"/>
      <c r="G3" s="12"/>
      <c r="H3" s="12"/>
      <c r="I3" s="12"/>
      <c r="J3" s="12"/>
      <c r="K3" s="12"/>
      <c r="L3" s="12"/>
      <c r="M3" s="12"/>
      <c r="N3" s="12"/>
      <c r="O3" s="12"/>
      <c r="P3" s="12"/>
    </row>
    <row r="5" spans="2:16" x14ac:dyDescent="0.3">
      <c r="B5" s="13" t="s">
        <v>358</v>
      </c>
      <c r="C5" s="10"/>
      <c r="E5" s="15" t="s">
        <v>359</v>
      </c>
      <c r="F5" s="10"/>
      <c r="H5" s="17" t="s">
        <v>360</v>
      </c>
      <c r="I5" s="10"/>
      <c r="K5" s="19" t="s">
        <v>361</v>
      </c>
      <c r="L5" s="10"/>
      <c r="N5" s="21" t="s">
        <v>362</v>
      </c>
      <c r="O5" s="10"/>
    </row>
    <row r="6" spans="2:16" x14ac:dyDescent="0.3">
      <c r="B6" s="14">
        <f>Calc!B2</f>
        <v>2577875.25</v>
      </c>
      <c r="C6" s="12"/>
      <c r="E6" s="16">
        <f>Calc!B3</f>
        <v>410078.2</v>
      </c>
      <c r="F6" s="12"/>
      <c r="H6" s="18">
        <f>Calc!B4</f>
        <v>0.15907604528186536</v>
      </c>
      <c r="I6" s="12"/>
      <c r="K6" s="20">
        <f>Calc!B5</f>
        <v>150</v>
      </c>
      <c r="L6" s="12"/>
      <c r="N6" s="22">
        <f>Calc!B7</f>
        <v>17185.834999999999</v>
      </c>
      <c r="O6" s="12"/>
    </row>
    <row r="7" spans="2:16" x14ac:dyDescent="0.3">
      <c r="B7" s="12"/>
      <c r="C7" s="12"/>
      <c r="E7" s="12"/>
      <c r="F7" s="12"/>
      <c r="H7" s="12"/>
      <c r="I7" s="12"/>
      <c r="K7" s="12"/>
      <c r="L7" s="12"/>
      <c r="N7" s="12"/>
      <c r="O7" s="12"/>
    </row>
  </sheetData>
  <mergeCells count="11">
    <mergeCell ref="N6:O7"/>
    <mergeCell ref="B2:P3"/>
    <mergeCell ref="B5:C5"/>
    <mergeCell ref="B6:C7"/>
    <mergeCell ref="E5:F5"/>
    <mergeCell ref="E6:F7"/>
    <mergeCell ref="H5:I5"/>
    <mergeCell ref="H6:I7"/>
    <mergeCell ref="K5:L5"/>
    <mergeCell ref="K6:L7"/>
    <mergeCell ref="N5: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DB83-B747-4E7C-8259-468A64FE6C30}">
  <dimension ref="A1:Q151"/>
  <sheetViews>
    <sheetView workbookViewId="0"/>
  </sheetViews>
  <sheetFormatPr defaultRowHeight="14.4" x14ac:dyDescent="0.3"/>
  <cols>
    <col min="1" max="1" width="9.88671875" customWidth="1"/>
    <col min="2" max="2" width="13.21875" customWidth="1"/>
    <col min="3" max="3" width="16.44140625" customWidth="1"/>
    <col min="4" max="4" width="12" style="1" customWidth="1"/>
    <col min="5" max="5" width="13.88671875" customWidth="1"/>
    <col min="8" max="8" width="17.5546875" customWidth="1"/>
    <col min="9" max="9" width="15" customWidth="1"/>
    <col min="10" max="10" width="14.33203125" customWidth="1"/>
    <col min="11" max="11" width="11" style="2" customWidth="1"/>
    <col min="12" max="12" width="14.44140625" style="2" customWidth="1"/>
    <col min="13" max="13" width="12.109375" style="3" customWidth="1"/>
    <col min="14" max="14" width="14.88671875" style="2" customWidth="1"/>
    <col min="15" max="15" width="20.109375" customWidth="1"/>
    <col min="16" max="16" width="17.6640625" customWidth="1"/>
    <col min="17" max="17" width="15.33203125" customWidth="1"/>
  </cols>
  <sheetData>
    <row r="1" spans="1:17" x14ac:dyDescent="0.3">
      <c r="A1" t="s">
        <v>0</v>
      </c>
      <c r="B1" t="s">
        <v>1</v>
      </c>
      <c r="C1" t="s">
        <v>2</v>
      </c>
      <c r="D1" s="1" t="s">
        <v>3</v>
      </c>
      <c r="E1" t="s">
        <v>4</v>
      </c>
      <c r="F1" t="s">
        <v>5</v>
      </c>
      <c r="G1" t="s">
        <v>6</v>
      </c>
      <c r="H1" t="s">
        <v>7</v>
      </c>
      <c r="I1" t="s">
        <v>8</v>
      </c>
      <c r="J1" t="s">
        <v>9</v>
      </c>
      <c r="K1" s="2" t="s">
        <v>10</v>
      </c>
      <c r="L1" s="2" t="s">
        <v>11</v>
      </c>
      <c r="M1" s="3" t="s">
        <v>12</v>
      </c>
      <c r="N1" s="2" t="s">
        <v>13</v>
      </c>
      <c r="O1" t="s">
        <v>14</v>
      </c>
      <c r="P1" t="s">
        <v>15</v>
      </c>
      <c r="Q1" t="s">
        <v>16</v>
      </c>
    </row>
    <row r="2" spans="1:17" x14ac:dyDescent="0.3">
      <c r="A2" t="s">
        <v>17</v>
      </c>
      <c r="B2" t="s">
        <v>18</v>
      </c>
      <c r="C2" t="s">
        <v>19</v>
      </c>
      <c r="D2" s="1">
        <v>45504</v>
      </c>
      <c r="E2" t="s">
        <v>20</v>
      </c>
      <c r="F2" t="s">
        <v>21</v>
      </c>
      <c r="G2" t="s">
        <v>22</v>
      </c>
      <c r="H2" t="s">
        <v>23</v>
      </c>
      <c r="I2" t="s">
        <v>24</v>
      </c>
      <c r="J2">
        <v>1</v>
      </c>
      <c r="K2" s="2">
        <v>1100</v>
      </c>
      <c r="L2" s="2">
        <v>1045</v>
      </c>
      <c r="M2" s="3">
        <v>0.05</v>
      </c>
      <c r="N2" s="2">
        <v>495</v>
      </c>
      <c r="O2" t="s">
        <v>25</v>
      </c>
      <c r="P2" t="s">
        <v>26</v>
      </c>
      <c r="Q2" t="s">
        <v>27</v>
      </c>
    </row>
    <row r="3" spans="1:17" x14ac:dyDescent="0.3">
      <c r="A3" t="s">
        <v>28</v>
      </c>
      <c r="B3" t="s">
        <v>29</v>
      </c>
      <c r="C3" t="s">
        <v>30</v>
      </c>
      <c r="D3" s="1">
        <v>45577</v>
      </c>
      <c r="E3" t="s">
        <v>31</v>
      </c>
      <c r="F3" t="s">
        <v>21</v>
      </c>
      <c r="G3" t="s">
        <v>32</v>
      </c>
      <c r="H3" t="s">
        <v>33</v>
      </c>
      <c r="I3" t="s">
        <v>34</v>
      </c>
      <c r="J3">
        <v>1</v>
      </c>
      <c r="K3" s="2">
        <v>3200</v>
      </c>
      <c r="L3" s="2">
        <v>3200</v>
      </c>
      <c r="M3" s="3">
        <v>0</v>
      </c>
      <c r="N3" s="2">
        <v>1120</v>
      </c>
      <c r="O3" t="s">
        <v>25</v>
      </c>
      <c r="P3" t="s">
        <v>35</v>
      </c>
      <c r="Q3" t="s">
        <v>27</v>
      </c>
    </row>
    <row r="4" spans="1:17" x14ac:dyDescent="0.3">
      <c r="A4" t="s">
        <v>36</v>
      </c>
      <c r="B4" t="s">
        <v>37</v>
      </c>
      <c r="C4" t="s">
        <v>38</v>
      </c>
      <c r="D4" s="1">
        <v>45484</v>
      </c>
      <c r="E4" t="s">
        <v>20</v>
      </c>
      <c r="F4" t="s">
        <v>21</v>
      </c>
      <c r="G4" t="s">
        <v>22</v>
      </c>
      <c r="H4" t="s">
        <v>23</v>
      </c>
      <c r="I4" t="s">
        <v>39</v>
      </c>
      <c r="J4">
        <v>5</v>
      </c>
      <c r="K4" s="2">
        <v>2800</v>
      </c>
      <c r="L4" s="2">
        <v>14000</v>
      </c>
      <c r="M4" s="3">
        <v>0</v>
      </c>
      <c r="N4" s="2">
        <v>4760</v>
      </c>
      <c r="O4" t="s">
        <v>40</v>
      </c>
      <c r="P4" t="s">
        <v>41</v>
      </c>
      <c r="Q4" t="s">
        <v>27</v>
      </c>
    </row>
    <row r="5" spans="1:17" x14ac:dyDescent="0.3">
      <c r="A5" t="s">
        <v>42</v>
      </c>
      <c r="B5" t="s">
        <v>43</v>
      </c>
      <c r="C5" t="s">
        <v>44</v>
      </c>
      <c r="D5" s="1">
        <v>45610</v>
      </c>
      <c r="E5" t="s">
        <v>45</v>
      </c>
      <c r="F5" t="s">
        <v>46</v>
      </c>
      <c r="G5" t="s">
        <v>47</v>
      </c>
      <c r="H5" t="s">
        <v>48</v>
      </c>
      <c r="I5" t="s">
        <v>49</v>
      </c>
      <c r="J5">
        <v>3</v>
      </c>
      <c r="K5" s="2">
        <v>18000</v>
      </c>
      <c r="L5" s="2">
        <v>54000</v>
      </c>
      <c r="M5" s="3">
        <v>0</v>
      </c>
      <c r="N5" s="2">
        <v>11880</v>
      </c>
      <c r="O5" t="s">
        <v>25</v>
      </c>
      <c r="P5" t="s">
        <v>41</v>
      </c>
      <c r="Q5" t="s">
        <v>27</v>
      </c>
    </row>
    <row r="6" spans="1:17" x14ac:dyDescent="0.3">
      <c r="A6" t="s">
        <v>50</v>
      </c>
      <c r="B6" t="s">
        <v>51</v>
      </c>
      <c r="C6" t="s">
        <v>52</v>
      </c>
      <c r="D6" s="1">
        <v>45569</v>
      </c>
      <c r="E6" t="s">
        <v>31</v>
      </c>
      <c r="F6" t="s">
        <v>21</v>
      </c>
      <c r="G6" t="s">
        <v>53</v>
      </c>
      <c r="H6" t="s">
        <v>33</v>
      </c>
      <c r="I6" t="s">
        <v>34</v>
      </c>
      <c r="J6">
        <v>2</v>
      </c>
      <c r="K6" s="2">
        <v>3200</v>
      </c>
      <c r="L6" s="2">
        <v>5760</v>
      </c>
      <c r="M6" s="3">
        <v>0.1</v>
      </c>
      <c r="N6" s="2">
        <v>1600</v>
      </c>
      <c r="O6" t="s">
        <v>54</v>
      </c>
      <c r="P6" t="s">
        <v>55</v>
      </c>
      <c r="Q6" t="s">
        <v>27</v>
      </c>
    </row>
    <row r="7" spans="1:17" x14ac:dyDescent="0.3">
      <c r="A7" t="s">
        <v>56</v>
      </c>
      <c r="B7" t="s">
        <v>57</v>
      </c>
      <c r="C7" t="s">
        <v>58</v>
      </c>
      <c r="D7" s="1">
        <v>45487</v>
      </c>
      <c r="E7" t="s">
        <v>20</v>
      </c>
      <c r="F7" t="s">
        <v>59</v>
      </c>
      <c r="G7" t="s">
        <v>60</v>
      </c>
      <c r="H7" t="s">
        <v>33</v>
      </c>
      <c r="I7" t="s">
        <v>61</v>
      </c>
      <c r="J7">
        <v>4</v>
      </c>
      <c r="K7" s="2">
        <v>1800</v>
      </c>
      <c r="L7" s="2">
        <v>6480</v>
      </c>
      <c r="M7" s="3">
        <v>0.1</v>
      </c>
      <c r="N7" s="2">
        <v>2304</v>
      </c>
      <c r="O7" t="s">
        <v>40</v>
      </c>
      <c r="P7" t="s">
        <v>35</v>
      </c>
      <c r="Q7" t="s">
        <v>62</v>
      </c>
    </row>
    <row r="8" spans="1:17" x14ac:dyDescent="0.3">
      <c r="A8" t="s">
        <v>63</v>
      </c>
      <c r="B8" t="s">
        <v>64</v>
      </c>
      <c r="C8" t="s">
        <v>65</v>
      </c>
      <c r="D8" s="1">
        <v>45542</v>
      </c>
      <c r="E8" t="s">
        <v>66</v>
      </c>
      <c r="F8" t="s">
        <v>46</v>
      </c>
      <c r="G8" t="s">
        <v>47</v>
      </c>
      <c r="H8" t="s">
        <v>33</v>
      </c>
      <c r="I8" t="s">
        <v>34</v>
      </c>
      <c r="J8">
        <v>3</v>
      </c>
      <c r="K8" s="2">
        <v>3200</v>
      </c>
      <c r="L8" s="2">
        <v>8160</v>
      </c>
      <c r="M8" s="3">
        <v>0.15</v>
      </c>
      <c r="N8" s="2">
        <v>1920</v>
      </c>
      <c r="O8" t="s">
        <v>25</v>
      </c>
      <c r="P8" t="s">
        <v>67</v>
      </c>
      <c r="Q8" t="s">
        <v>68</v>
      </c>
    </row>
    <row r="9" spans="1:17" x14ac:dyDescent="0.3">
      <c r="A9" t="s">
        <v>69</v>
      </c>
      <c r="B9" t="s">
        <v>70</v>
      </c>
      <c r="C9" t="s">
        <v>71</v>
      </c>
      <c r="D9" s="1">
        <v>45652</v>
      </c>
      <c r="E9" t="s">
        <v>72</v>
      </c>
      <c r="F9" t="s">
        <v>46</v>
      </c>
      <c r="G9" t="s">
        <v>73</v>
      </c>
      <c r="H9" t="s">
        <v>74</v>
      </c>
      <c r="I9" t="s">
        <v>75</v>
      </c>
      <c r="J9">
        <v>4</v>
      </c>
      <c r="K9" s="2">
        <v>1500</v>
      </c>
      <c r="L9" s="2">
        <v>5400</v>
      </c>
      <c r="M9" s="3">
        <v>0.1</v>
      </c>
      <c r="N9" s="2">
        <v>2400</v>
      </c>
      <c r="O9" t="s">
        <v>76</v>
      </c>
      <c r="P9" t="s">
        <v>67</v>
      </c>
      <c r="Q9" t="s">
        <v>27</v>
      </c>
    </row>
    <row r="10" spans="1:17" x14ac:dyDescent="0.3">
      <c r="A10" t="s">
        <v>77</v>
      </c>
      <c r="B10" t="s">
        <v>78</v>
      </c>
      <c r="C10" t="s">
        <v>79</v>
      </c>
      <c r="D10" s="1">
        <v>45445</v>
      </c>
      <c r="E10" t="s">
        <v>80</v>
      </c>
      <c r="F10" t="s">
        <v>21</v>
      </c>
      <c r="G10" t="s">
        <v>81</v>
      </c>
      <c r="H10" t="s">
        <v>82</v>
      </c>
      <c r="I10" t="s">
        <v>83</v>
      </c>
      <c r="J10">
        <v>1</v>
      </c>
      <c r="K10" s="2">
        <v>1200</v>
      </c>
      <c r="L10" s="2">
        <v>1140</v>
      </c>
      <c r="M10" s="3">
        <v>0.05</v>
      </c>
      <c r="N10" s="2">
        <v>660</v>
      </c>
      <c r="O10" t="s">
        <v>40</v>
      </c>
      <c r="P10" t="s">
        <v>41</v>
      </c>
      <c r="Q10" t="s">
        <v>27</v>
      </c>
    </row>
    <row r="11" spans="1:17" x14ac:dyDescent="0.3">
      <c r="A11" t="s">
        <v>84</v>
      </c>
      <c r="B11" t="s">
        <v>85</v>
      </c>
      <c r="C11" t="s">
        <v>86</v>
      </c>
      <c r="D11" s="1">
        <v>45642</v>
      </c>
      <c r="E11" t="s">
        <v>72</v>
      </c>
      <c r="F11" t="s">
        <v>87</v>
      </c>
      <c r="G11" t="s">
        <v>88</v>
      </c>
      <c r="H11" t="s">
        <v>82</v>
      </c>
      <c r="I11" t="s">
        <v>89</v>
      </c>
      <c r="J11">
        <v>2</v>
      </c>
      <c r="K11" s="2">
        <v>650</v>
      </c>
      <c r="L11" s="2">
        <v>1300</v>
      </c>
      <c r="M11" s="3">
        <v>0</v>
      </c>
      <c r="N11" s="2">
        <v>754</v>
      </c>
      <c r="O11" t="s">
        <v>90</v>
      </c>
      <c r="P11" t="s">
        <v>67</v>
      </c>
      <c r="Q11" t="s">
        <v>91</v>
      </c>
    </row>
    <row r="12" spans="1:17" x14ac:dyDescent="0.3">
      <c r="A12" t="s">
        <v>92</v>
      </c>
      <c r="B12" t="s">
        <v>18</v>
      </c>
      <c r="C12" t="s">
        <v>19</v>
      </c>
      <c r="D12" s="1">
        <v>45600</v>
      </c>
      <c r="E12" t="s">
        <v>45</v>
      </c>
      <c r="F12" t="s">
        <v>46</v>
      </c>
      <c r="G12" t="s">
        <v>93</v>
      </c>
      <c r="H12" t="s">
        <v>23</v>
      </c>
      <c r="I12" t="s">
        <v>24</v>
      </c>
      <c r="J12">
        <v>4</v>
      </c>
      <c r="K12" s="2">
        <v>1100</v>
      </c>
      <c r="L12" s="2">
        <v>3740</v>
      </c>
      <c r="M12" s="3">
        <v>0.15</v>
      </c>
      <c r="N12" s="2">
        <v>1540</v>
      </c>
      <c r="O12" t="s">
        <v>40</v>
      </c>
      <c r="P12" t="s">
        <v>26</v>
      </c>
      <c r="Q12" t="s">
        <v>27</v>
      </c>
    </row>
    <row r="13" spans="1:17" x14ac:dyDescent="0.3">
      <c r="A13" t="s">
        <v>94</v>
      </c>
      <c r="B13" t="s">
        <v>95</v>
      </c>
      <c r="C13" t="s">
        <v>96</v>
      </c>
      <c r="D13" s="1">
        <v>45391</v>
      </c>
      <c r="E13" t="s">
        <v>97</v>
      </c>
      <c r="F13" t="s">
        <v>46</v>
      </c>
      <c r="G13" t="s">
        <v>93</v>
      </c>
      <c r="H13" t="s">
        <v>82</v>
      </c>
      <c r="I13" t="s">
        <v>98</v>
      </c>
      <c r="J13">
        <v>2</v>
      </c>
      <c r="K13" s="2">
        <v>2400</v>
      </c>
      <c r="L13" s="2">
        <v>4320</v>
      </c>
      <c r="M13" s="3">
        <v>0.1</v>
      </c>
      <c r="N13" s="2">
        <v>2016</v>
      </c>
      <c r="O13" t="s">
        <v>90</v>
      </c>
      <c r="P13" t="s">
        <v>67</v>
      </c>
      <c r="Q13" t="s">
        <v>27</v>
      </c>
    </row>
    <row r="14" spans="1:17" x14ac:dyDescent="0.3">
      <c r="A14" t="s">
        <v>99</v>
      </c>
      <c r="B14" t="s">
        <v>57</v>
      </c>
      <c r="C14" t="s">
        <v>58</v>
      </c>
      <c r="D14" s="1">
        <v>45607</v>
      </c>
      <c r="E14" t="s">
        <v>45</v>
      </c>
      <c r="F14" t="s">
        <v>46</v>
      </c>
      <c r="G14" t="s">
        <v>47</v>
      </c>
      <c r="H14" t="s">
        <v>48</v>
      </c>
      <c r="I14" t="s">
        <v>100</v>
      </c>
      <c r="J14">
        <v>5</v>
      </c>
      <c r="K14" s="2">
        <v>2500</v>
      </c>
      <c r="L14" s="2">
        <v>11250</v>
      </c>
      <c r="M14" s="3">
        <v>0.1</v>
      </c>
      <c r="N14" s="2">
        <v>3500</v>
      </c>
      <c r="O14" t="s">
        <v>76</v>
      </c>
      <c r="P14" t="s">
        <v>67</v>
      </c>
      <c r="Q14" t="s">
        <v>27</v>
      </c>
    </row>
    <row r="15" spans="1:17" x14ac:dyDescent="0.3">
      <c r="A15" t="s">
        <v>101</v>
      </c>
      <c r="B15" t="s">
        <v>102</v>
      </c>
      <c r="C15" t="s">
        <v>103</v>
      </c>
      <c r="D15" s="1">
        <v>45517</v>
      </c>
      <c r="E15" t="s">
        <v>104</v>
      </c>
      <c r="F15" t="s">
        <v>46</v>
      </c>
      <c r="G15" t="s">
        <v>105</v>
      </c>
      <c r="H15" t="s">
        <v>33</v>
      </c>
      <c r="I15" t="s">
        <v>34</v>
      </c>
      <c r="J15">
        <v>1</v>
      </c>
      <c r="K15" s="2">
        <v>3200</v>
      </c>
      <c r="L15" s="2">
        <v>2880</v>
      </c>
      <c r="M15" s="3">
        <v>0.1</v>
      </c>
      <c r="N15" s="2">
        <v>800</v>
      </c>
      <c r="O15" t="s">
        <v>90</v>
      </c>
      <c r="P15" t="s">
        <v>67</v>
      </c>
      <c r="Q15" t="s">
        <v>62</v>
      </c>
    </row>
    <row r="16" spans="1:17" x14ac:dyDescent="0.3">
      <c r="A16" t="s">
        <v>106</v>
      </c>
      <c r="B16" t="s">
        <v>107</v>
      </c>
      <c r="C16" t="s">
        <v>108</v>
      </c>
      <c r="D16" s="1">
        <v>45391</v>
      </c>
      <c r="E16" t="s">
        <v>97</v>
      </c>
      <c r="F16" t="s">
        <v>87</v>
      </c>
      <c r="G16" t="s">
        <v>109</v>
      </c>
      <c r="H16" t="s">
        <v>82</v>
      </c>
      <c r="I16" t="s">
        <v>89</v>
      </c>
      <c r="J16">
        <v>4</v>
      </c>
      <c r="K16" s="2">
        <v>650</v>
      </c>
      <c r="L16" s="2">
        <v>2210</v>
      </c>
      <c r="M16" s="3">
        <v>0.15</v>
      </c>
      <c r="N16" s="2">
        <v>1118</v>
      </c>
      <c r="O16" t="s">
        <v>54</v>
      </c>
      <c r="P16" t="s">
        <v>67</v>
      </c>
      <c r="Q16" t="s">
        <v>27</v>
      </c>
    </row>
    <row r="17" spans="1:17" x14ac:dyDescent="0.3">
      <c r="A17" t="s">
        <v>110</v>
      </c>
      <c r="B17" t="s">
        <v>111</v>
      </c>
      <c r="C17" t="s">
        <v>112</v>
      </c>
      <c r="D17" s="1">
        <v>45433</v>
      </c>
      <c r="E17" t="s">
        <v>113</v>
      </c>
      <c r="F17" t="s">
        <v>21</v>
      </c>
      <c r="G17" t="s">
        <v>53</v>
      </c>
      <c r="H17" t="s">
        <v>23</v>
      </c>
      <c r="I17" t="s">
        <v>24</v>
      </c>
      <c r="J17">
        <v>3</v>
      </c>
      <c r="K17" s="2">
        <v>1100</v>
      </c>
      <c r="L17" s="2">
        <v>2805</v>
      </c>
      <c r="M17" s="3">
        <v>0.15</v>
      </c>
      <c r="N17" s="2">
        <v>1155</v>
      </c>
      <c r="O17" t="s">
        <v>40</v>
      </c>
      <c r="P17" t="s">
        <v>67</v>
      </c>
      <c r="Q17" t="s">
        <v>91</v>
      </c>
    </row>
    <row r="18" spans="1:17" x14ac:dyDescent="0.3">
      <c r="A18" t="s">
        <v>114</v>
      </c>
      <c r="B18" t="s">
        <v>115</v>
      </c>
      <c r="C18" t="s">
        <v>116</v>
      </c>
      <c r="D18" s="1">
        <v>45524</v>
      </c>
      <c r="E18" t="s">
        <v>104</v>
      </c>
      <c r="F18" t="s">
        <v>46</v>
      </c>
      <c r="G18" t="s">
        <v>73</v>
      </c>
      <c r="H18" t="s">
        <v>74</v>
      </c>
      <c r="I18" t="s">
        <v>75</v>
      </c>
      <c r="J18">
        <v>5</v>
      </c>
      <c r="K18" s="2">
        <v>1500</v>
      </c>
      <c r="L18" s="2">
        <v>6750</v>
      </c>
      <c r="M18" s="3">
        <v>0.1</v>
      </c>
      <c r="N18" s="2">
        <v>3000</v>
      </c>
      <c r="O18" t="s">
        <v>25</v>
      </c>
      <c r="P18" t="s">
        <v>67</v>
      </c>
      <c r="Q18" t="s">
        <v>68</v>
      </c>
    </row>
    <row r="19" spans="1:17" x14ac:dyDescent="0.3">
      <c r="A19" t="s">
        <v>117</v>
      </c>
      <c r="B19" t="s">
        <v>70</v>
      </c>
      <c r="C19" t="s">
        <v>71</v>
      </c>
      <c r="D19" s="1">
        <v>45296</v>
      </c>
      <c r="E19" t="s">
        <v>118</v>
      </c>
      <c r="F19" t="s">
        <v>21</v>
      </c>
      <c r="G19" t="s">
        <v>22</v>
      </c>
      <c r="H19" t="s">
        <v>33</v>
      </c>
      <c r="I19" t="s">
        <v>61</v>
      </c>
      <c r="J19">
        <v>1</v>
      </c>
      <c r="K19" s="2">
        <v>1800</v>
      </c>
      <c r="L19" s="2">
        <v>1620</v>
      </c>
      <c r="M19" s="3">
        <v>0.1</v>
      </c>
      <c r="N19" s="2">
        <v>576</v>
      </c>
      <c r="O19" t="s">
        <v>40</v>
      </c>
      <c r="P19" t="s">
        <v>26</v>
      </c>
      <c r="Q19" t="s">
        <v>27</v>
      </c>
    </row>
    <row r="20" spans="1:17" x14ac:dyDescent="0.3">
      <c r="A20" t="s">
        <v>119</v>
      </c>
      <c r="B20" t="s">
        <v>85</v>
      </c>
      <c r="C20" t="s">
        <v>86</v>
      </c>
      <c r="D20" s="1">
        <v>45573</v>
      </c>
      <c r="E20" t="s">
        <v>31</v>
      </c>
      <c r="F20" t="s">
        <v>46</v>
      </c>
      <c r="G20" t="s">
        <v>105</v>
      </c>
      <c r="H20" t="s">
        <v>23</v>
      </c>
      <c r="I20" t="s">
        <v>39</v>
      </c>
      <c r="J20">
        <v>5</v>
      </c>
      <c r="K20" s="2">
        <v>2800</v>
      </c>
      <c r="L20" s="2">
        <v>14000</v>
      </c>
      <c r="M20" s="3">
        <v>0</v>
      </c>
      <c r="N20" s="2">
        <v>4760</v>
      </c>
      <c r="O20" t="s">
        <v>54</v>
      </c>
      <c r="P20" t="s">
        <v>67</v>
      </c>
      <c r="Q20" t="s">
        <v>27</v>
      </c>
    </row>
    <row r="21" spans="1:17" x14ac:dyDescent="0.3">
      <c r="A21" t="s">
        <v>120</v>
      </c>
      <c r="B21" t="s">
        <v>121</v>
      </c>
      <c r="C21" t="s">
        <v>122</v>
      </c>
      <c r="D21" s="1">
        <v>45509</v>
      </c>
      <c r="E21" t="s">
        <v>104</v>
      </c>
      <c r="F21" t="s">
        <v>59</v>
      </c>
      <c r="G21" t="s">
        <v>60</v>
      </c>
      <c r="H21" t="s">
        <v>23</v>
      </c>
      <c r="I21" t="s">
        <v>39</v>
      </c>
      <c r="J21">
        <v>5</v>
      </c>
      <c r="K21" s="2">
        <v>2800</v>
      </c>
      <c r="L21" s="2">
        <v>11200</v>
      </c>
      <c r="M21" s="3">
        <v>0.2</v>
      </c>
      <c r="N21" s="2">
        <v>1960</v>
      </c>
      <c r="O21" t="s">
        <v>90</v>
      </c>
      <c r="P21" t="s">
        <v>55</v>
      </c>
      <c r="Q21" t="s">
        <v>62</v>
      </c>
    </row>
    <row r="22" spans="1:17" x14ac:dyDescent="0.3">
      <c r="A22" t="s">
        <v>123</v>
      </c>
      <c r="B22" t="s">
        <v>95</v>
      </c>
      <c r="C22" t="s">
        <v>96</v>
      </c>
      <c r="D22" s="1">
        <v>45549</v>
      </c>
      <c r="E22" t="s">
        <v>66</v>
      </c>
      <c r="F22" t="s">
        <v>46</v>
      </c>
      <c r="G22" t="s">
        <v>47</v>
      </c>
      <c r="H22" t="s">
        <v>82</v>
      </c>
      <c r="I22" t="s">
        <v>98</v>
      </c>
      <c r="J22">
        <v>5</v>
      </c>
      <c r="K22" s="2">
        <v>2400</v>
      </c>
      <c r="L22" s="2">
        <v>10200</v>
      </c>
      <c r="M22" s="3">
        <v>0.15</v>
      </c>
      <c r="N22" s="2">
        <v>4440</v>
      </c>
      <c r="O22" t="s">
        <v>40</v>
      </c>
      <c r="P22" t="s">
        <v>67</v>
      </c>
      <c r="Q22" t="s">
        <v>27</v>
      </c>
    </row>
    <row r="23" spans="1:17" x14ac:dyDescent="0.3">
      <c r="A23" t="s">
        <v>124</v>
      </c>
      <c r="B23" t="s">
        <v>125</v>
      </c>
      <c r="C23" t="s">
        <v>126</v>
      </c>
      <c r="D23" s="1">
        <v>45488</v>
      </c>
      <c r="E23" t="s">
        <v>20</v>
      </c>
      <c r="F23" t="s">
        <v>46</v>
      </c>
      <c r="G23" t="s">
        <v>105</v>
      </c>
      <c r="H23" t="s">
        <v>23</v>
      </c>
      <c r="I23" t="s">
        <v>24</v>
      </c>
      <c r="J23">
        <v>3</v>
      </c>
      <c r="K23" s="2">
        <v>1100</v>
      </c>
      <c r="L23" s="2">
        <v>2970</v>
      </c>
      <c r="M23" s="3">
        <v>0.1</v>
      </c>
      <c r="N23" s="2">
        <v>1320</v>
      </c>
      <c r="O23" t="s">
        <v>54</v>
      </c>
      <c r="P23" t="s">
        <v>35</v>
      </c>
      <c r="Q23" t="s">
        <v>27</v>
      </c>
    </row>
    <row r="24" spans="1:17" x14ac:dyDescent="0.3">
      <c r="A24" t="s">
        <v>127</v>
      </c>
      <c r="B24" t="s">
        <v>128</v>
      </c>
      <c r="C24" t="s">
        <v>129</v>
      </c>
      <c r="D24" s="1">
        <v>45336</v>
      </c>
      <c r="E24" t="s">
        <v>130</v>
      </c>
      <c r="F24" t="s">
        <v>59</v>
      </c>
      <c r="G24" t="s">
        <v>131</v>
      </c>
      <c r="H24" t="s">
        <v>48</v>
      </c>
      <c r="I24" t="s">
        <v>49</v>
      </c>
      <c r="J24">
        <v>3</v>
      </c>
      <c r="K24" s="2">
        <v>18000</v>
      </c>
      <c r="L24" s="2">
        <v>43200</v>
      </c>
      <c r="M24" s="3">
        <v>0.2</v>
      </c>
      <c r="N24" s="2">
        <v>1080</v>
      </c>
      <c r="O24" t="s">
        <v>25</v>
      </c>
      <c r="P24" t="s">
        <v>67</v>
      </c>
      <c r="Q24" t="s">
        <v>27</v>
      </c>
    </row>
    <row r="25" spans="1:17" x14ac:dyDescent="0.3">
      <c r="A25" t="s">
        <v>132</v>
      </c>
      <c r="B25" t="s">
        <v>133</v>
      </c>
      <c r="C25" t="s">
        <v>134</v>
      </c>
      <c r="D25" s="1">
        <v>45637</v>
      </c>
      <c r="E25" t="s">
        <v>72</v>
      </c>
      <c r="F25" t="s">
        <v>46</v>
      </c>
      <c r="G25" t="s">
        <v>93</v>
      </c>
      <c r="H25" t="s">
        <v>23</v>
      </c>
      <c r="I25" t="s">
        <v>135</v>
      </c>
      <c r="J25">
        <v>3</v>
      </c>
      <c r="K25" s="2">
        <v>1900</v>
      </c>
      <c r="L25" s="2">
        <v>5700</v>
      </c>
      <c r="M25" s="3">
        <v>0</v>
      </c>
      <c r="N25" s="2">
        <v>2280</v>
      </c>
      <c r="O25" t="s">
        <v>40</v>
      </c>
      <c r="P25" t="s">
        <v>67</v>
      </c>
      <c r="Q25" t="s">
        <v>91</v>
      </c>
    </row>
    <row r="26" spans="1:17" x14ac:dyDescent="0.3">
      <c r="A26" t="s">
        <v>136</v>
      </c>
      <c r="B26" t="s">
        <v>51</v>
      </c>
      <c r="C26" t="s">
        <v>52</v>
      </c>
      <c r="D26" s="1">
        <v>45626</v>
      </c>
      <c r="E26" t="s">
        <v>45</v>
      </c>
      <c r="F26" t="s">
        <v>87</v>
      </c>
      <c r="G26" t="s">
        <v>137</v>
      </c>
      <c r="H26" t="s">
        <v>33</v>
      </c>
      <c r="I26" t="s">
        <v>138</v>
      </c>
      <c r="J26">
        <v>4</v>
      </c>
      <c r="K26" s="2">
        <v>950</v>
      </c>
      <c r="L26" s="2">
        <v>3610</v>
      </c>
      <c r="M26" s="3">
        <v>0.05</v>
      </c>
      <c r="N26" s="2">
        <v>1634</v>
      </c>
      <c r="O26" t="s">
        <v>139</v>
      </c>
      <c r="P26" t="s">
        <v>41</v>
      </c>
      <c r="Q26" t="s">
        <v>91</v>
      </c>
    </row>
    <row r="27" spans="1:17" x14ac:dyDescent="0.3">
      <c r="A27" t="s">
        <v>140</v>
      </c>
      <c r="B27" t="s">
        <v>141</v>
      </c>
      <c r="C27" t="s">
        <v>142</v>
      </c>
      <c r="D27" s="1">
        <v>45596</v>
      </c>
      <c r="E27" t="s">
        <v>31</v>
      </c>
      <c r="F27" t="s">
        <v>21</v>
      </c>
      <c r="G27" t="s">
        <v>81</v>
      </c>
      <c r="H27" t="s">
        <v>33</v>
      </c>
      <c r="I27" t="s">
        <v>61</v>
      </c>
      <c r="J27">
        <v>2</v>
      </c>
      <c r="K27" s="2">
        <v>1800</v>
      </c>
      <c r="L27" s="2">
        <v>3420</v>
      </c>
      <c r="M27" s="3">
        <v>0.05</v>
      </c>
      <c r="N27" s="2">
        <v>1332</v>
      </c>
      <c r="O27" t="s">
        <v>40</v>
      </c>
      <c r="P27" t="s">
        <v>55</v>
      </c>
      <c r="Q27" t="s">
        <v>62</v>
      </c>
    </row>
    <row r="28" spans="1:17" x14ac:dyDescent="0.3">
      <c r="A28" t="s">
        <v>143</v>
      </c>
      <c r="B28" t="s">
        <v>57</v>
      </c>
      <c r="C28" t="s">
        <v>58</v>
      </c>
      <c r="D28" s="1">
        <v>45444</v>
      </c>
      <c r="E28" t="s">
        <v>80</v>
      </c>
      <c r="F28" t="s">
        <v>46</v>
      </c>
      <c r="G28" t="s">
        <v>93</v>
      </c>
      <c r="H28" t="s">
        <v>82</v>
      </c>
      <c r="I28" t="s">
        <v>83</v>
      </c>
      <c r="J28">
        <v>4</v>
      </c>
      <c r="K28" s="2">
        <v>1200</v>
      </c>
      <c r="L28" s="2">
        <v>4800</v>
      </c>
      <c r="M28" s="3">
        <v>0</v>
      </c>
      <c r="N28" s="2">
        <v>2880</v>
      </c>
      <c r="O28" t="s">
        <v>54</v>
      </c>
      <c r="P28" t="s">
        <v>35</v>
      </c>
      <c r="Q28" t="s">
        <v>68</v>
      </c>
    </row>
    <row r="29" spans="1:17" x14ac:dyDescent="0.3">
      <c r="A29" t="s">
        <v>144</v>
      </c>
      <c r="B29" t="s">
        <v>107</v>
      </c>
      <c r="C29" t="s">
        <v>108</v>
      </c>
      <c r="D29" s="1">
        <v>45577</v>
      </c>
      <c r="E29" t="s">
        <v>31</v>
      </c>
      <c r="F29" t="s">
        <v>46</v>
      </c>
      <c r="G29" t="s">
        <v>105</v>
      </c>
      <c r="H29" t="s">
        <v>74</v>
      </c>
      <c r="I29" t="s">
        <v>145</v>
      </c>
      <c r="J29">
        <v>4</v>
      </c>
      <c r="K29" s="2">
        <v>799</v>
      </c>
      <c r="L29" s="2">
        <v>3196</v>
      </c>
      <c r="M29" s="3">
        <v>0</v>
      </c>
      <c r="N29" s="2">
        <v>1757.8</v>
      </c>
      <c r="O29" t="s">
        <v>25</v>
      </c>
      <c r="P29" t="s">
        <v>35</v>
      </c>
      <c r="Q29" t="s">
        <v>62</v>
      </c>
    </row>
    <row r="30" spans="1:17" x14ac:dyDescent="0.3">
      <c r="A30" t="s">
        <v>146</v>
      </c>
      <c r="B30" t="s">
        <v>147</v>
      </c>
      <c r="C30" t="s">
        <v>148</v>
      </c>
      <c r="D30" s="1">
        <v>45489</v>
      </c>
      <c r="E30" t="s">
        <v>20</v>
      </c>
      <c r="F30" t="s">
        <v>87</v>
      </c>
      <c r="G30" t="s">
        <v>149</v>
      </c>
      <c r="H30" t="s">
        <v>48</v>
      </c>
      <c r="I30" t="s">
        <v>49</v>
      </c>
      <c r="J30">
        <v>5</v>
      </c>
      <c r="K30" s="2">
        <v>18000</v>
      </c>
      <c r="L30" s="2">
        <v>76500</v>
      </c>
      <c r="M30" s="3">
        <v>0.15</v>
      </c>
      <c r="N30" s="2">
        <v>6300</v>
      </c>
      <c r="O30" t="s">
        <v>90</v>
      </c>
      <c r="P30" t="s">
        <v>26</v>
      </c>
      <c r="Q30" t="s">
        <v>62</v>
      </c>
    </row>
    <row r="31" spans="1:17" x14ac:dyDescent="0.3">
      <c r="A31" t="s">
        <v>150</v>
      </c>
      <c r="B31" t="s">
        <v>151</v>
      </c>
      <c r="C31" t="s">
        <v>152</v>
      </c>
      <c r="D31" s="1">
        <v>45535</v>
      </c>
      <c r="E31" t="s">
        <v>104</v>
      </c>
      <c r="F31" t="s">
        <v>46</v>
      </c>
      <c r="G31" t="s">
        <v>73</v>
      </c>
      <c r="H31" t="s">
        <v>74</v>
      </c>
      <c r="I31" t="s">
        <v>145</v>
      </c>
      <c r="J31">
        <v>3</v>
      </c>
      <c r="K31" s="2">
        <v>799</v>
      </c>
      <c r="L31" s="2">
        <v>2157.3000000000002</v>
      </c>
      <c r="M31" s="3">
        <v>0.1</v>
      </c>
      <c r="N31" s="2">
        <v>1078.6500000000001</v>
      </c>
      <c r="O31" t="s">
        <v>76</v>
      </c>
      <c r="P31" t="s">
        <v>67</v>
      </c>
      <c r="Q31" t="s">
        <v>68</v>
      </c>
    </row>
    <row r="32" spans="1:17" x14ac:dyDescent="0.3">
      <c r="A32" t="s">
        <v>153</v>
      </c>
      <c r="B32" t="s">
        <v>154</v>
      </c>
      <c r="C32" t="s">
        <v>155</v>
      </c>
      <c r="D32" s="1">
        <v>45524</v>
      </c>
      <c r="E32" t="s">
        <v>104</v>
      </c>
      <c r="F32" t="s">
        <v>59</v>
      </c>
      <c r="G32" t="s">
        <v>60</v>
      </c>
      <c r="H32" t="s">
        <v>23</v>
      </c>
      <c r="I32" t="s">
        <v>24</v>
      </c>
      <c r="J32">
        <v>2</v>
      </c>
      <c r="K32" s="2">
        <v>1100</v>
      </c>
      <c r="L32" s="2">
        <v>1980</v>
      </c>
      <c r="M32" s="3">
        <v>0.1</v>
      </c>
      <c r="N32" s="2">
        <v>880</v>
      </c>
      <c r="O32" t="s">
        <v>90</v>
      </c>
      <c r="P32" t="s">
        <v>26</v>
      </c>
      <c r="Q32" t="s">
        <v>91</v>
      </c>
    </row>
    <row r="33" spans="1:17" x14ac:dyDescent="0.3">
      <c r="A33" t="s">
        <v>156</v>
      </c>
      <c r="B33" t="s">
        <v>157</v>
      </c>
      <c r="C33" t="s">
        <v>158</v>
      </c>
      <c r="D33" s="1">
        <v>45530</v>
      </c>
      <c r="E33" t="s">
        <v>104</v>
      </c>
      <c r="F33" t="s">
        <v>21</v>
      </c>
      <c r="G33" t="s">
        <v>22</v>
      </c>
      <c r="H33" t="s">
        <v>74</v>
      </c>
      <c r="I33" t="s">
        <v>145</v>
      </c>
      <c r="J33">
        <v>2</v>
      </c>
      <c r="K33" s="2">
        <v>799</v>
      </c>
      <c r="L33" s="2">
        <v>1518.1</v>
      </c>
      <c r="M33" s="3">
        <v>0.05</v>
      </c>
      <c r="N33" s="2">
        <v>799</v>
      </c>
      <c r="O33" t="s">
        <v>76</v>
      </c>
      <c r="P33" t="s">
        <v>26</v>
      </c>
      <c r="Q33" t="s">
        <v>27</v>
      </c>
    </row>
    <row r="34" spans="1:17" x14ac:dyDescent="0.3">
      <c r="A34" t="s">
        <v>159</v>
      </c>
      <c r="B34" t="s">
        <v>37</v>
      </c>
      <c r="C34" t="s">
        <v>38</v>
      </c>
      <c r="D34" s="1">
        <v>45357</v>
      </c>
      <c r="E34" t="s">
        <v>160</v>
      </c>
      <c r="F34" t="s">
        <v>46</v>
      </c>
      <c r="G34" t="s">
        <v>93</v>
      </c>
      <c r="H34" t="s">
        <v>33</v>
      </c>
      <c r="I34" t="s">
        <v>138</v>
      </c>
      <c r="J34">
        <v>4</v>
      </c>
      <c r="K34" s="2">
        <v>950</v>
      </c>
      <c r="L34" s="2">
        <v>3230</v>
      </c>
      <c r="M34" s="3">
        <v>0.15</v>
      </c>
      <c r="N34" s="2">
        <v>1254</v>
      </c>
      <c r="O34" t="s">
        <v>54</v>
      </c>
      <c r="P34" t="s">
        <v>26</v>
      </c>
      <c r="Q34" t="s">
        <v>27</v>
      </c>
    </row>
    <row r="35" spans="1:17" x14ac:dyDescent="0.3">
      <c r="A35" t="s">
        <v>161</v>
      </c>
      <c r="B35" t="s">
        <v>57</v>
      </c>
      <c r="C35" t="s">
        <v>58</v>
      </c>
      <c r="D35" s="1">
        <v>45598</v>
      </c>
      <c r="E35" t="s">
        <v>45</v>
      </c>
      <c r="F35" t="s">
        <v>59</v>
      </c>
      <c r="G35" t="s">
        <v>131</v>
      </c>
      <c r="H35" t="s">
        <v>82</v>
      </c>
      <c r="I35" t="s">
        <v>98</v>
      </c>
      <c r="J35">
        <v>4</v>
      </c>
      <c r="K35" s="2">
        <v>2400</v>
      </c>
      <c r="L35" s="2">
        <v>8640</v>
      </c>
      <c r="M35" s="3">
        <v>0.1</v>
      </c>
      <c r="N35" s="2">
        <v>4032</v>
      </c>
      <c r="O35" t="s">
        <v>25</v>
      </c>
      <c r="P35" t="s">
        <v>67</v>
      </c>
      <c r="Q35" t="s">
        <v>27</v>
      </c>
    </row>
    <row r="36" spans="1:17" x14ac:dyDescent="0.3">
      <c r="A36" t="s">
        <v>162</v>
      </c>
      <c r="B36" t="s">
        <v>163</v>
      </c>
      <c r="C36" t="s">
        <v>164</v>
      </c>
      <c r="D36" s="1">
        <v>45429</v>
      </c>
      <c r="E36" t="s">
        <v>113</v>
      </c>
      <c r="F36" t="s">
        <v>87</v>
      </c>
      <c r="G36" t="s">
        <v>109</v>
      </c>
      <c r="H36" t="s">
        <v>23</v>
      </c>
      <c r="I36" t="s">
        <v>135</v>
      </c>
      <c r="J36">
        <v>3</v>
      </c>
      <c r="K36" s="2">
        <v>1900</v>
      </c>
      <c r="L36" s="2">
        <v>5700</v>
      </c>
      <c r="M36" s="3">
        <v>0</v>
      </c>
      <c r="N36" s="2">
        <v>2280</v>
      </c>
      <c r="O36" t="s">
        <v>139</v>
      </c>
      <c r="P36" t="s">
        <v>41</v>
      </c>
      <c r="Q36" t="s">
        <v>27</v>
      </c>
    </row>
    <row r="37" spans="1:17" x14ac:dyDescent="0.3">
      <c r="A37" t="s">
        <v>165</v>
      </c>
      <c r="B37" t="s">
        <v>57</v>
      </c>
      <c r="C37" t="s">
        <v>58</v>
      </c>
      <c r="D37" s="1">
        <v>45628</v>
      </c>
      <c r="E37" t="s">
        <v>72</v>
      </c>
      <c r="F37" t="s">
        <v>46</v>
      </c>
      <c r="G37" t="s">
        <v>93</v>
      </c>
      <c r="H37" t="s">
        <v>82</v>
      </c>
      <c r="I37" t="s">
        <v>89</v>
      </c>
      <c r="J37">
        <v>3</v>
      </c>
      <c r="K37" s="2">
        <v>650</v>
      </c>
      <c r="L37" s="2">
        <v>1950</v>
      </c>
      <c r="M37" s="3">
        <v>0</v>
      </c>
      <c r="N37" s="2">
        <v>1131</v>
      </c>
      <c r="O37" t="s">
        <v>40</v>
      </c>
      <c r="P37" t="s">
        <v>35</v>
      </c>
      <c r="Q37" t="s">
        <v>27</v>
      </c>
    </row>
    <row r="38" spans="1:17" x14ac:dyDescent="0.3">
      <c r="A38" t="s">
        <v>166</v>
      </c>
      <c r="B38" t="s">
        <v>18</v>
      </c>
      <c r="C38" t="s">
        <v>19</v>
      </c>
      <c r="D38" s="1">
        <v>45348</v>
      </c>
      <c r="E38" t="s">
        <v>130</v>
      </c>
      <c r="F38" t="s">
        <v>87</v>
      </c>
      <c r="G38" t="s">
        <v>149</v>
      </c>
      <c r="H38" t="s">
        <v>48</v>
      </c>
      <c r="I38" t="s">
        <v>49</v>
      </c>
      <c r="J38">
        <v>5</v>
      </c>
      <c r="K38" s="2">
        <v>18000</v>
      </c>
      <c r="L38" s="2">
        <v>81000</v>
      </c>
      <c r="M38" s="3">
        <v>0.1</v>
      </c>
      <c r="N38" s="2">
        <v>10800</v>
      </c>
      <c r="O38" t="s">
        <v>25</v>
      </c>
      <c r="P38" t="s">
        <v>41</v>
      </c>
      <c r="Q38" t="s">
        <v>27</v>
      </c>
    </row>
    <row r="39" spans="1:17" x14ac:dyDescent="0.3">
      <c r="A39" t="s">
        <v>167</v>
      </c>
      <c r="B39" t="s">
        <v>70</v>
      </c>
      <c r="C39" t="s">
        <v>71</v>
      </c>
      <c r="D39" s="1">
        <v>45637</v>
      </c>
      <c r="E39" t="s">
        <v>72</v>
      </c>
      <c r="F39" t="s">
        <v>59</v>
      </c>
      <c r="G39" t="s">
        <v>168</v>
      </c>
      <c r="H39" t="s">
        <v>23</v>
      </c>
      <c r="I39" t="s">
        <v>135</v>
      </c>
      <c r="J39">
        <v>1</v>
      </c>
      <c r="K39" s="2">
        <v>1900</v>
      </c>
      <c r="L39" s="2">
        <v>1805</v>
      </c>
      <c r="M39" s="3">
        <v>0.05</v>
      </c>
      <c r="N39" s="2">
        <v>665</v>
      </c>
      <c r="O39" t="s">
        <v>25</v>
      </c>
      <c r="P39" t="s">
        <v>55</v>
      </c>
      <c r="Q39" t="s">
        <v>91</v>
      </c>
    </row>
    <row r="40" spans="1:17" x14ac:dyDescent="0.3">
      <c r="A40" t="s">
        <v>169</v>
      </c>
      <c r="B40" t="s">
        <v>29</v>
      </c>
      <c r="C40" t="s">
        <v>30</v>
      </c>
      <c r="D40" s="1">
        <v>45594</v>
      </c>
      <c r="E40" t="s">
        <v>31</v>
      </c>
      <c r="F40" t="s">
        <v>87</v>
      </c>
      <c r="G40" t="s">
        <v>137</v>
      </c>
      <c r="H40" t="s">
        <v>82</v>
      </c>
      <c r="I40" t="s">
        <v>89</v>
      </c>
      <c r="J40">
        <v>1</v>
      </c>
      <c r="K40" s="2">
        <v>650</v>
      </c>
      <c r="L40" s="2">
        <v>520</v>
      </c>
      <c r="M40" s="3">
        <v>0.2</v>
      </c>
      <c r="N40" s="2">
        <v>247</v>
      </c>
      <c r="O40" t="s">
        <v>139</v>
      </c>
      <c r="P40" t="s">
        <v>26</v>
      </c>
      <c r="Q40" t="s">
        <v>27</v>
      </c>
    </row>
    <row r="41" spans="1:17" x14ac:dyDescent="0.3">
      <c r="A41" t="s">
        <v>170</v>
      </c>
      <c r="B41" t="s">
        <v>111</v>
      </c>
      <c r="C41" t="s">
        <v>112</v>
      </c>
      <c r="D41" s="1">
        <v>45581</v>
      </c>
      <c r="E41" t="s">
        <v>31</v>
      </c>
      <c r="F41" t="s">
        <v>59</v>
      </c>
      <c r="G41" t="s">
        <v>131</v>
      </c>
      <c r="H41" t="s">
        <v>33</v>
      </c>
      <c r="I41" t="s">
        <v>61</v>
      </c>
      <c r="J41">
        <v>1</v>
      </c>
      <c r="K41" s="2">
        <v>1800</v>
      </c>
      <c r="L41" s="2">
        <v>1710</v>
      </c>
      <c r="M41" s="3">
        <v>0.05</v>
      </c>
      <c r="N41" s="2">
        <v>666</v>
      </c>
      <c r="O41" t="s">
        <v>25</v>
      </c>
      <c r="P41" t="s">
        <v>35</v>
      </c>
      <c r="Q41" t="s">
        <v>68</v>
      </c>
    </row>
    <row r="42" spans="1:17" x14ac:dyDescent="0.3">
      <c r="A42" t="s">
        <v>171</v>
      </c>
      <c r="B42" t="s">
        <v>172</v>
      </c>
      <c r="C42" t="s">
        <v>173</v>
      </c>
      <c r="D42" s="1">
        <v>45520</v>
      </c>
      <c r="E42" t="s">
        <v>104</v>
      </c>
      <c r="F42" t="s">
        <v>87</v>
      </c>
      <c r="G42" t="s">
        <v>137</v>
      </c>
      <c r="H42" t="s">
        <v>48</v>
      </c>
      <c r="I42" t="s">
        <v>174</v>
      </c>
      <c r="J42">
        <v>4</v>
      </c>
      <c r="K42" s="2">
        <v>52000</v>
      </c>
      <c r="L42" s="2">
        <v>166400</v>
      </c>
      <c r="M42" s="3">
        <v>0.2</v>
      </c>
      <c r="N42" s="2">
        <v>-4160</v>
      </c>
      <c r="O42" t="s">
        <v>40</v>
      </c>
      <c r="P42" t="s">
        <v>67</v>
      </c>
      <c r="Q42" t="s">
        <v>27</v>
      </c>
    </row>
    <row r="43" spans="1:17" x14ac:dyDescent="0.3">
      <c r="A43" t="s">
        <v>175</v>
      </c>
      <c r="B43" t="s">
        <v>172</v>
      </c>
      <c r="C43" t="s">
        <v>173</v>
      </c>
      <c r="D43" s="1">
        <v>45362</v>
      </c>
      <c r="E43" t="s">
        <v>160</v>
      </c>
      <c r="F43" t="s">
        <v>46</v>
      </c>
      <c r="G43" t="s">
        <v>47</v>
      </c>
      <c r="H43" t="s">
        <v>33</v>
      </c>
      <c r="I43" t="s">
        <v>138</v>
      </c>
      <c r="J43">
        <v>1</v>
      </c>
      <c r="K43" s="2">
        <v>950</v>
      </c>
      <c r="L43" s="2">
        <v>855</v>
      </c>
      <c r="M43" s="3">
        <v>0.1</v>
      </c>
      <c r="N43" s="2">
        <v>361</v>
      </c>
      <c r="O43" t="s">
        <v>139</v>
      </c>
      <c r="P43" t="s">
        <v>26</v>
      </c>
      <c r="Q43" t="s">
        <v>68</v>
      </c>
    </row>
    <row r="44" spans="1:17" x14ac:dyDescent="0.3">
      <c r="A44" t="s">
        <v>176</v>
      </c>
      <c r="B44" t="s">
        <v>57</v>
      </c>
      <c r="C44" t="s">
        <v>58</v>
      </c>
      <c r="D44" s="1">
        <v>45521</v>
      </c>
      <c r="E44" t="s">
        <v>104</v>
      </c>
      <c r="F44" t="s">
        <v>59</v>
      </c>
      <c r="G44" t="s">
        <v>168</v>
      </c>
      <c r="H44" t="s">
        <v>82</v>
      </c>
      <c r="I44" t="s">
        <v>98</v>
      </c>
      <c r="J44">
        <v>3</v>
      </c>
      <c r="K44" s="2">
        <v>2400</v>
      </c>
      <c r="L44" s="2">
        <v>7200</v>
      </c>
      <c r="M44" s="3">
        <v>0</v>
      </c>
      <c r="N44" s="2">
        <v>3744</v>
      </c>
      <c r="O44" t="s">
        <v>139</v>
      </c>
      <c r="P44" t="s">
        <v>26</v>
      </c>
      <c r="Q44" t="s">
        <v>91</v>
      </c>
    </row>
    <row r="45" spans="1:17" x14ac:dyDescent="0.3">
      <c r="A45" t="s">
        <v>177</v>
      </c>
      <c r="B45" t="s">
        <v>43</v>
      </c>
      <c r="C45" t="s">
        <v>44</v>
      </c>
      <c r="D45" s="1">
        <v>45594</v>
      </c>
      <c r="E45" t="s">
        <v>31</v>
      </c>
      <c r="F45" t="s">
        <v>21</v>
      </c>
      <c r="G45" t="s">
        <v>32</v>
      </c>
      <c r="H45" t="s">
        <v>23</v>
      </c>
      <c r="I45" t="s">
        <v>39</v>
      </c>
      <c r="J45">
        <v>1</v>
      </c>
      <c r="K45" s="2">
        <v>2800</v>
      </c>
      <c r="L45" s="2">
        <v>2800</v>
      </c>
      <c r="M45" s="3">
        <v>0</v>
      </c>
      <c r="N45" s="2">
        <v>952</v>
      </c>
      <c r="O45" t="s">
        <v>40</v>
      </c>
      <c r="P45" t="s">
        <v>26</v>
      </c>
      <c r="Q45" t="s">
        <v>91</v>
      </c>
    </row>
    <row r="46" spans="1:17" x14ac:dyDescent="0.3">
      <c r="A46" t="s">
        <v>178</v>
      </c>
      <c r="B46" t="s">
        <v>151</v>
      </c>
      <c r="C46" t="s">
        <v>152</v>
      </c>
      <c r="D46" s="1">
        <v>45373</v>
      </c>
      <c r="E46" t="s">
        <v>160</v>
      </c>
      <c r="F46" t="s">
        <v>46</v>
      </c>
      <c r="G46" t="s">
        <v>47</v>
      </c>
      <c r="H46" t="s">
        <v>82</v>
      </c>
      <c r="I46" t="s">
        <v>83</v>
      </c>
      <c r="J46">
        <v>2</v>
      </c>
      <c r="K46" s="2">
        <v>1200</v>
      </c>
      <c r="L46" s="2">
        <v>2400</v>
      </c>
      <c r="M46" s="3">
        <v>0</v>
      </c>
      <c r="N46" s="2">
        <v>1440</v>
      </c>
      <c r="O46" t="s">
        <v>76</v>
      </c>
      <c r="P46" t="s">
        <v>67</v>
      </c>
      <c r="Q46" t="s">
        <v>27</v>
      </c>
    </row>
    <row r="47" spans="1:17" x14ac:dyDescent="0.3">
      <c r="A47" t="s">
        <v>179</v>
      </c>
      <c r="B47" t="s">
        <v>121</v>
      </c>
      <c r="C47" t="s">
        <v>122</v>
      </c>
      <c r="D47" s="1">
        <v>45429</v>
      </c>
      <c r="E47" t="s">
        <v>113</v>
      </c>
      <c r="F47" t="s">
        <v>59</v>
      </c>
      <c r="G47" t="s">
        <v>168</v>
      </c>
      <c r="H47" t="s">
        <v>33</v>
      </c>
      <c r="I47" t="s">
        <v>34</v>
      </c>
      <c r="J47">
        <v>2</v>
      </c>
      <c r="K47" s="2">
        <v>3200</v>
      </c>
      <c r="L47" s="2">
        <v>5760</v>
      </c>
      <c r="M47" s="3">
        <v>0.1</v>
      </c>
      <c r="N47" s="2">
        <v>1600</v>
      </c>
      <c r="O47" t="s">
        <v>76</v>
      </c>
      <c r="P47" t="s">
        <v>35</v>
      </c>
      <c r="Q47" t="s">
        <v>27</v>
      </c>
    </row>
    <row r="48" spans="1:17" x14ac:dyDescent="0.3">
      <c r="A48" t="s">
        <v>180</v>
      </c>
      <c r="B48" t="s">
        <v>78</v>
      </c>
      <c r="C48" t="s">
        <v>79</v>
      </c>
      <c r="D48" s="1">
        <v>45630</v>
      </c>
      <c r="E48" t="s">
        <v>72</v>
      </c>
      <c r="F48" t="s">
        <v>21</v>
      </c>
      <c r="G48" t="s">
        <v>81</v>
      </c>
      <c r="H48" t="s">
        <v>74</v>
      </c>
      <c r="I48" t="s">
        <v>75</v>
      </c>
      <c r="J48">
        <v>3</v>
      </c>
      <c r="K48" s="2">
        <v>1500</v>
      </c>
      <c r="L48" s="2">
        <v>4275</v>
      </c>
      <c r="M48" s="3">
        <v>0.05</v>
      </c>
      <c r="N48" s="2">
        <v>2025</v>
      </c>
      <c r="O48" t="s">
        <v>54</v>
      </c>
      <c r="P48" t="s">
        <v>26</v>
      </c>
      <c r="Q48" t="s">
        <v>27</v>
      </c>
    </row>
    <row r="49" spans="1:17" x14ac:dyDescent="0.3">
      <c r="A49" t="s">
        <v>181</v>
      </c>
      <c r="B49" t="s">
        <v>141</v>
      </c>
      <c r="C49" t="s">
        <v>142</v>
      </c>
      <c r="D49" s="1">
        <v>45475</v>
      </c>
      <c r="E49" t="s">
        <v>20</v>
      </c>
      <c r="F49" t="s">
        <v>46</v>
      </c>
      <c r="G49" t="s">
        <v>105</v>
      </c>
      <c r="H49" t="s">
        <v>82</v>
      </c>
      <c r="I49" t="s">
        <v>89</v>
      </c>
      <c r="J49">
        <v>3</v>
      </c>
      <c r="K49" s="2">
        <v>650</v>
      </c>
      <c r="L49" s="2">
        <v>1560</v>
      </c>
      <c r="M49" s="3">
        <v>0.2</v>
      </c>
      <c r="N49" s="2">
        <v>741</v>
      </c>
      <c r="O49" t="s">
        <v>25</v>
      </c>
      <c r="P49" t="s">
        <v>67</v>
      </c>
      <c r="Q49" t="s">
        <v>27</v>
      </c>
    </row>
    <row r="50" spans="1:17" x14ac:dyDescent="0.3">
      <c r="A50" t="s">
        <v>182</v>
      </c>
      <c r="B50" t="s">
        <v>102</v>
      </c>
      <c r="C50" t="s">
        <v>103</v>
      </c>
      <c r="D50" s="1">
        <v>45422</v>
      </c>
      <c r="E50" t="s">
        <v>113</v>
      </c>
      <c r="F50" t="s">
        <v>59</v>
      </c>
      <c r="G50" t="s">
        <v>183</v>
      </c>
      <c r="H50" t="s">
        <v>74</v>
      </c>
      <c r="I50" t="s">
        <v>145</v>
      </c>
      <c r="J50">
        <v>5</v>
      </c>
      <c r="K50" s="2">
        <v>799</v>
      </c>
      <c r="L50" s="2">
        <v>3196</v>
      </c>
      <c r="M50" s="3">
        <v>0.2</v>
      </c>
      <c r="N50" s="2">
        <v>1398.25</v>
      </c>
      <c r="O50" t="s">
        <v>139</v>
      </c>
      <c r="P50" t="s">
        <v>41</v>
      </c>
      <c r="Q50" t="s">
        <v>27</v>
      </c>
    </row>
    <row r="51" spans="1:17" x14ac:dyDescent="0.3">
      <c r="A51" t="s">
        <v>184</v>
      </c>
      <c r="B51" t="s">
        <v>51</v>
      </c>
      <c r="C51" t="s">
        <v>52</v>
      </c>
      <c r="D51" s="1">
        <v>45597</v>
      </c>
      <c r="E51" t="s">
        <v>45</v>
      </c>
      <c r="F51" t="s">
        <v>46</v>
      </c>
      <c r="G51" t="s">
        <v>93</v>
      </c>
      <c r="H51" t="s">
        <v>82</v>
      </c>
      <c r="I51" t="s">
        <v>89</v>
      </c>
      <c r="J51">
        <v>3</v>
      </c>
      <c r="K51" s="2">
        <v>650</v>
      </c>
      <c r="L51" s="2">
        <v>1755</v>
      </c>
      <c r="M51" s="3">
        <v>0.1</v>
      </c>
      <c r="N51" s="2">
        <v>936</v>
      </c>
      <c r="O51" t="s">
        <v>76</v>
      </c>
      <c r="P51" t="s">
        <v>26</v>
      </c>
      <c r="Q51" t="s">
        <v>27</v>
      </c>
    </row>
    <row r="52" spans="1:17" x14ac:dyDescent="0.3">
      <c r="A52" t="s">
        <v>185</v>
      </c>
      <c r="B52" t="s">
        <v>107</v>
      </c>
      <c r="C52" t="s">
        <v>108</v>
      </c>
      <c r="D52" s="1">
        <v>45454</v>
      </c>
      <c r="E52" t="s">
        <v>80</v>
      </c>
      <c r="F52" t="s">
        <v>87</v>
      </c>
      <c r="G52" t="s">
        <v>149</v>
      </c>
      <c r="H52" t="s">
        <v>48</v>
      </c>
      <c r="I52" t="s">
        <v>49</v>
      </c>
      <c r="J52">
        <v>3</v>
      </c>
      <c r="K52" s="2">
        <v>18000</v>
      </c>
      <c r="L52" s="2">
        <v>43200</v>
      </c>
      <c r="M52" s="3">
        <v>0.2</v>
      </c>
      <c r="N52" s="2">
        <v>1080</v>
      </c>
      <c r="O52" t="s">
        <v>54</v>
      </c>
      <c r="P52" t="s">
        <v>67</v>
      </c>
      <c r="Q52" t="s">
        <v>91</v>
      </c>
    </row>
    <row r="53" spans="1:17" x14ac:dyDescent="0.3">
      <c r="A53" t="s">
        <v>186</v>
      </c>
      <c r="B53" t="s">
        <v>154</v>
      </c>
      <c r="C53" t="s">
        <v>155</v>
      </c>
      <c r="D53" s="1">
        <v>45638</v>
      </c>
      <c r="E53" t="s">
        <v>72</v>
      </c>
      <c r="F53" t="s">
        <v>21</v>
      </c>
      <c r="G53" t="s">
        <v>81</v>
      </c>
      <c r="H53" t="s">
        <v>33</v>
      </c>
      <c r="I53" t="s">
        <v>61</v>
      </c>
      <c r="J53">
        <v>2</v>
      </c>
      <c r="K53" s="2">
        <v>1800</v>
      </c>
      <c r="L53" s="2">
        <v>3420</v>
      </c>
      <c r="M53" s="3">
        <v>0.05</v>
      </c>
      <c r="N53" s="2">
        <v>1332</v>
      </c>
      <c r="O53" t="s">
        <v>25</v>
      </c>
      <c r="P53" t="s">
        <v>55</v>
      </c>
      <c r="Q53" t="s">
        <v>91</v>
      </c>
    </row>
    <row r="54" spans="1:17" x14ac:dyDescent="0.3">
      <c r="A54" t="s">
        <v>187</v>
      </c>
      <c r="B54" t="s">
        <v>115</v>
      </c>
      <c r="C54" t="s">
        <v>116</v>
      </c>
      <c r="D54" s="1">
        <v>45624</v>
      </c>
      <c r="E54" t="s">
        <v>45</v>
      </c>
      <c r="F54" t="s">
        <v>87</v>
      </c>
      <c r="G54" t="s">
        <v>137</v>
      </c>
      <c r="H54" t="s">
        <v>82</v>
      </c>
      <c r="I54" t="s">
        <v>83</v>
      </c>
      <c r="J54">
        <v>4</v>
      </c>
      <c r="K54" s="2">
        <v>1200</v>
      </c>
      <c r="L54" s="2">
        <v>4320</v>
      </c>
      <c r="M54" s="3">
        <v>0.1</v>
      </c>
      <c r="N54" s="2">
        <v>2400</v>
      </c>
      <c r="O54" t="s">
        <v>139</v>
      </c>
      <c r="P54" t="s">
        <v>41</v>
      </c>
      <c r="Q54" t="s">
        <v>27</v>
      </c>
    </row>
    <row r="55" spans="1:17" x14ac:dyDescent="0.3">
      <c r="A55" t="s">
        <v>188</v>
      </c>
      <c r="B55" t="s">
        <v>157</v>
      </c>
      <c r="C55" t="s">
        <v>158</v>
      </c>
      <c r="D55" s="1">
        <v>45422</v>
      </c>
      <c r="E55" t="s">
        <v>113</v>
      </c>
      <c r="F55" t="s">
        <v>46</v>
      </c>
      <c r="G55" t="s">
        <v>93</v>
      </c>
      <c r="H55" t="s">
        <v>48</v>
      </c>
      <c r="I55" t="s">
        <v>174</v>
      </c>
      <c r="J55">
        <v>3</v>
      </c>
      <c r="K55" s="2">
        <v>52000</v>
      </c>
      <c r="L55" s="2">
        <v>140400</v>
      </c>
      <c r="M55" s="3">
        <v>0.1</v>
      </c>
      <c r="N55" s="2">
        <v>12480</v>
      </c>
      <c r="O55" t="s">
        <v>90</v>
      </c>
      <c r="P55" t="s">
        <v>67</v>
      </c>
      <c r="Q55" t="s">
        <v>27</v>
      </c>
    </row>
    <row r="56" spans="1:17" x14ac:dyDescent="0.3">
      <c r="A56" t="s">
        <v>189</v>
      </c>
      <c r="B56" t="s">
        <v>190</v>
      </c>
      <c r="C56" t="s">
        <v>191</v>
      </c>
      <c r="D56" s="1">
        <v>45446</v>
      </c>
      <c r="E56" t="s">
        <v>80</v>
      </c>
      <c r="F56" t="s">
        <v>87</v>
      </c>
      <c r="G56" t="s">
        <v>149</v>
      </c>
      <c r="H56" t="s">
        <v>82</v>
      </c>
      <c r="I56" t="s">
        <v>83</v>
      </c>
      <c r="J56">
        <v>5</v>
      </c>
      <c r="K56" s="2">
        <v>1200</v>
      </c>
      <c r="L56" s="2">
        <v>6000</v>
      </c>
      <c r="M56" s="3">
        <v>0</v>
      </c>
      <c r="N56" s="2">
        <v>3600</v>
      </c>
      <c r="O56" t="s">
        <v>25</v>
      </c>
      <c r="P56" t="s">
        <v>41</v>
      </c>
      <c r="Q56" t="s">
        <v>27</v>
      </c>
    </row>
    <row r="57" spans="1:17" x14ac:dyDescent="0.3">
      <c r="A57" t="s">
        <v>192</v>
      </c>
      <c r="B57" t="s">
        <v>190</v>
      </c>
      <c r="C57" t="s">
        <v>191</v>
      </c>
      <c r="D57" s="1">
        <v>45646</v>
      </c>
      <c r="E57" t="s">
        <v>72</v>
      </c>
      <c r="F57" t="s">
        <v>59</v>
      </c>
      <c r="G57" t="s">
        <v>168</v>
      </c>
      <c r="H57" t="s">
        <v>74</v>
      </c>
      <c r="I57" t="s">
        <v>75</v>
      </c>
      <c r="J57">
        <v>3</v>
      </c>
      <c r="K57" s="2">
        <v>1500</v>
      </c>
      <c r="L57" s="2">
        <v>4500</v>
      </c>
      <c r="M57" s="3">
        <v>0</v>
      </c>
      <c r="N57" s="2">
        <v>2250</v>
      </c>
      <c r="O57" t="s">
        <v>40</v>
      </c>
      <c r="P57" t="s">
        <v>35</v>
      </c>
      <c r="Q57" t="s">
        <v>27</v>
      </c>
    </row>
    <row r="58" spans="1:17" x14ac:dyDescent="0.3">
      <c r="A58" t="s">
        <v>193</v>
      </c>
      <c r="B58" t="s">
        <v>194</v>
      </c>
      <c r="C58" t="s">
        <v>152</v>
      </c>
      <c r="D58" s="1">
        <v>45470</v>
      </c>
      <c r="E58" t="s">
        <v>80</v>
      </c>
      <c r="F58" t="s">
        <v>59</v>
      </c>
      <c r="G58" t="s">
        <v>168</v>
      </c>
      <c r="H58" t="s">
        <v>74</v>
      </c>
      <c r="I58" t="s">
        <v>195</v>
      </c>
      <c r="J58">
        <v>2</v>
      </c>
      <c r="K58" s="2">
        <v>2200</v>
      </c>
      <c r="L58" s="2">
        <v>3520</v>
      </c>
      <c r="M58" s="3">
        <v>0.2</v>
      </c>
      <c r="N58" s="2">
        <v>1100</v>
      </c>
      <c r="O58" t="s">
        <v>90</v>
      </c>
      <c r="P58" t="s">
        <v>55</v>
      </c>
      <c r="Q58" t="s">
        <v>27</v>
      </c>
    </row>
    <row r="59" spans="1:17" x14ac:dyDescent="0.3">
      <c r="A59" t="s">
        <v>196</v>
      </c>
      <c r="B59" t="s">
        <v>197</v>
      </c>
      <c r="C59" t="s">
        <v>198</v>
      </c>
      <c r="D59" s="1">
        <v>45538</v>
      </c>
      <c r="E59" t="s">
        <v>66</v>
      </c>
      <c r="F59" t="s">
        <v>21</v>
      </c>
      <c r="G59" t="s">
        <v>22</v>
      </c>
      <c r="H59" t="s">
        <v>74</v>
      </c>
      <c r="I59" t="s">
        <v>195</v>
      </c>
      <c r="J59">
        <v>3</v>
      </c>
      <c r="K59" s="2">
        <v>2200</v>
      </c>
      <c r="L59" s="2">
        <v>5940</v>
      </c>
      <c r="M59" s="3">
        <v>0.1</v>
      </c>
      <c r="N59" s="2">
        <v>2310</v>
      </c>
      <c r="O59" t="s">
        <v>90</v>
      </c>
      <c r="P59" t="s">
        <v>35</v>
      </c>
      <c r="Q59" t="s">
        <v>27</v>
      </c>
    </row>
    <row r="60" spans="1:17" x14ac:dyDescent="0.3">
      <c r="A60" t="s">
        <v>199</v>
      </c>
      <c r="B60" t="s">
        <v>43</v>
      </c>
      <c r="C60" t="s">
        <v>44</v>
      </c>
      <c r="D60" s="1">
        <v>45318</v>
      </c>
      <c r="E60" t="s">
        <v>118</v>
      </c>
      <c r="F60" t="s">
        <v>87</v>
      </c>
      <c r="G60" t="s">
        <v>137</v>
      </c>
      <c r="H60" t="s">
        <v>74</v>
      </c>
      <c r="I60" t="s">
        <v>75</v>
      </c>
      <c r="J60">
        <v>3</v>
      </c>
      <c r="K60" s="2">
        <v>1500</v>
      </c>
      <c r="L60" s="2">
        <v>4500</v>
      </c>
      <c r="M60" s="3">
        <v>0</v>
      </c>
      <c r="N60" s="2">
        <v>2250</v>
      </c>
      <c r="O60" t="s">
        <v>76</v>
      </c>
      <c r="P60" t="s">
        <v>26</v>
      </c>
      <c r="Q60" t="s">
        <v>91</v>
      </c>
    </row>
    <row r="61" spans="1:17" x14ac:dyDescent="0.3">
      <c r="A61" t="s">
        <v>200</v>
      </c>
      <c r="B61" t="s">
        <v>102</v>
      </c>
      <c r="C61" t="s">
        <v>103</v>
      </c>
      <c r="D61" s="1">
        <v>45461</v>
      </c>
      <c r="E61" t="s">
        <v>80</v>
      </c>
      <c r="F61" t="s">
        <v>87</v>
      </c>
      <c r="G61" t="s">
        <v>88</v>
      </c>
      <c r="H61" t="s">
        <v>74</v>
      </c>
      <c r="I61" t="s">
        <v>145</v>
      </c>
      <c r="J61">
        <v>2</v>
      </c>
      <c r="K61" s="2">
        <v>799</v>
      </c>
      <c r="L61" s="2">
        <v>1278.4000000000001</v>
      </c>
      <c r="M61" s="3">
        <v>0.2</v>
      </c>
      <c r="N61" s="2">
        <v>559.29999999999995</v>
      </c>
      <c r="O61" t="s">
        <v>40</v>
      </c>
      <c r="P61" t="s">
        <v>41</v>
      </c>
      <c r="Q61" t="s">
        <v>27</v>
      </c>
    </row>
    <row r="62" spans="1:17" x14ac:dyDescent="0.3">
      <c r="A62" t="s">
        <v>201</v>
      </c>
      <c r="B62" t="s">
        <v>18</v>
      </c>
      <c r="C62" t="s">
        <v>19</v>
      </c>
      <c r="D62" s="1">
        <v>45439</v>
      </c>
      <c r="E62" t="s">
        <v>113</v>
      </c>
      <c r="F62" t="s">
        <v>46</v>
      </c>
      <c r="G62" t="s">
        <v>47</v>
      </c>
      <c r="H62" t="s">
        <v>23</v>
      </c>
      <c r="I62" t="s">
        <v>39</v>
      </c>
      <c r="J62">
        <v>1</v>
      </c>
      <c r="K62" s="2">
        <v>2800</v>
      </c>
      <c r="L62" s="2">
        <v>2240</v>
      </c>
      <c r="M62" s="3">
        <v>0.2</v>
      </c>
      <c r="N62" s="2">
        <v>392</v>
      </c>
      <c r="O62" t="s">
        <v>76</v>
      </c>
      <c r="P62" t="s">
        <v>26</v>
      </c>
      <c r="Q62" t="s">
        <v>62</v>
      </c>
    </row>
    <row r="63" spans="1:17" x14ac:dyDescent="0.3">
      <c r="A63" t="s">
        <v>202</v>
      </c>
      <c r="B63" t="s">
        <v>197</v>
      </c>
      <c r="C63" t="s">
        <v>198</v>
      </c>
      <c r="D63" s="1">
        <v>45448</v>
      </c>
      <c r="E63" t="s">
        <v>80</v>
      </c>
      <c r="F63" t="s">
        <v>87</v>
      </c>
      <c r="G63" t="s">
        <v>137</v>
      </c>
      <c r="H63" t="s">
        <v>74</v>
      </c>
      <c r="I63" t="s">
        <v>145</v>
      </c>
      <c r="J63">
        <v>3</v>
      </c>
      <c r="K63" s="2">
        <v>799</v>
      </c>
      <c r="L63" s="2">
        <v>2277.15</v>
      </c>
      <c r="M63" s="3">
        <v>0.05</v>
      </c>
      <c r="N63" s="2">
        <v>1198.5</v>
      </c>
      <c r="O63" t="s">
        <v>40</v>
      </c>
      <c r="P63" t="s">
        <v>35</v>
      </c>
      <c r="Q63" t="s">
        <v>27</v>
      </c>
    </row>
    <row r="64" spans="1:17" x14ac:dyDescent="0.3">
      <c r="A64" t="s">
        <v>203</v>
      </c>
      <c r="B64" t="s">
        <v>204</v>
      </c>
      <c r="C64" t="s">
        <v>155</v>
      </c>
      <c r="D64" s="1">
        <v>45587</v>
      </c>
      <c r="E64" t="s">
        <v>31</v>
      </c>
      <c r="F64" t="s">
        <v>87</v>
      </c>
      <c r="G64" t="s">
        <v>109</v>
      </c>
      <c r="H64" t="s">
        <v>48</v>
      </c>
      <c r="I64" t="s">
        <v>100</v>
      </c>
      <c r="J64">
        <v>2</v>
      </c>
      <c r="K64" s="2">
        <v>2500</v>
      </c>
      <c r="L64" s="2">
        <v>5000</v>
      </c>
      <c r="M64" s="3">
        <v>0</v>
      </c>
      <c r="N64" s="2">
        <v>1900</v>
      </c>
      <c r="O64" t="s">
        <v>54</v>
      </c>
      <c r="P64" t="s">
        <v>55</v>
      </c>
      <c r="Q64" t="s">
        <v>91</v>
      </c>
    </row>
    <row r="65" spans="1:17" x14ac:dyDescent="0.3">
      <c r="A65" t="s">
        <v>205</v>
      </c>
      <c r="B65" t="s">
        <v>194</v>
      </c>
      <c r="C65" t="s">
        <v>152</v>
      </c>
      <c r="D65" s="1">
        <v>45364</v>
      </c>
      <c r="E65" t="s">
        <v>160</v>
      </c>
      <c r="F65" t="s">
        <v>59</v>
      </c>
      <c r="G65" t="s">
        <v>168</v>
      </c>
      <c r="H65" t="s">
        <v>33</v>
      </c>
      <c r="I65" t="s">
        <v>138</v>
      </c>
      <c r="J65">
        <v>1</v>
      </c>
      <c r="K65" s="2">
        <v>950</v>
      </c>
      <c r="L65" s="2">
        <v>950</v>
      </c>
      <c r="M65" s="3">
        <v>0</v>
      </c>
      <c r="N65" s="2">
        <v>456</v>
      </c>
      <c r="O65" t="s">
        <v>54</v>
      </c>
      <c r="P65" t="s">
        <v>67</v>
      </c>
      <c r="Q65" t="s">
        <v>27</v>
      </c>
    </row>
    <row r="66" spans="1:17" x14ac:dyDescent="0.3">
      <c r="A66" t="s">
        <v>206</v>
      </c>
      <c r="B66" t="s">
        <v>43</v>
      </c>
      <c r="C66" t="s">
        <v>44</v>
      </c>
      <c r="D66" s="1">
        <v>45313</v>
      </c>
      <c r="E66" t="s">
        <v>118</v>
      </c>
      <c r="F66" t="s">
        <v>87</v>
      </c>
      <c r="G66" t="s">
        <v>149</v>
      </c>
      <c r="H66" t="s">
        <v>74</v>
      </c>
      <c r="I66" t="s">
        <v>75</v>
      </c>
      <c r="J66">
        <v>2</v>
      </c>
      <c r="K66" s="2">
        <v>1500</v>
      </c>
      <c r="L66" s="2">
        <v>3000</v>
      </c>
      <c r="M66" s="3">
        <v>0</v>
      </c>
      <c r="N66" s="2">
        <v>1500</v>
      </c>
      <c r="O66" t="s">
        <v>25</v>
      </c>
      <c r="P66" t="s">
        <v>67</v>
      </c>
      <c r="Q66" t="s">
        <v>27</v>
      </c>
    </row>
    <row r="67" spans="1:17" x14ac:dyDescent="0.3">
      <c r="A67" t="s">
        <v>207</v>
      </c>
      <c r="B67" t="s">
        <v>208</v>
      </c>
      <c r="C67" t="s">
        <v>209</v>
      </c>
      <c r="D67" s="1">
        <v>45375</v>
      </c>
      <c r="E67" t="s">
        <v>160</v>
      </c>
      <c r="F67" t="s">
        <v>59</v>
      </c>
      <c r="G67" t="s">
        <v>131</v>
      </c>
      <c r="H67" t="s">
        <v>48</v>
      </c>
      <c r="I67" t="s">
        <v>49</v>
      </c>
      <c r="J67">
        <v>5</v>
      </c>
      <c r="K67" s="2">
        <v>18000</v>
      </c>
      <c r="L67" s="2">
        <v>81000</v>
      </c>
      <c r="M67" s="3">
        <v>0.1</v>
      </c>
      <c r="N67" s="2">
        <v>10800</v>
      </c>
      <c r="O67" t="s">
        <v>25</v>
      </c>
      <c r="P67" t="s">
        <v>55</v>
      </c>
      <c r="Q67" t="s">
        <v>62</v>
      </c>
    </row>
    <row r="68" spans="1:17" x14ac:dyDescent="0.3">
      <c r="A68" t="s">
        <v>210</v>
      </c>
      <c r="B68" t="s">
        <v>111</v>
      </c>
      <c r="C68" t="s">
        <v>112</v>
      </c>
      <c r="D68" s="1">
        <v>45433</v>
      </c>
      <c r="E68" t="s">
        <v>113</v>
      </c>
      <c r="F68" t="s">
        <v>87</v>
      </c>
      <c r="G68" t="s">
        <v>137</v>
      </c>
      <c r="H68" t="s">
        <v>33</v>
      </c>
      <c r="I68" t="s">
        <v>61</v>
      </c>
      <c r="J68">
        <v>4</v>
      </c>
      <c r="K68" s="2">
        <v>1800</v>
      </c>
      <c r="L68" s="2">
        <v>6840</v>
      </c>
      <c r="M68" s="3">
        <v>0.05</v>
      </c>
      <c r="N68" s="2">
        <v>2664</v>
      </c>
      <c r="O68" t="s">
        <v>54</v>
      </c>
      <c r="P68" t="s">
        <v>55</v>
      </c>
      <c r="Q68" t="s">
        <v>27</v>
      </c>
    </row>
    <row r="69" spans="1:17" x14ac:dyDescent="0.3">
      <c r="A69" t="s">
        <v>211</v>
      </c>
      <c r="B69" t="s">
        <v>78</v>
      </c>
      <c r="C69" t="s">
        <v>79</v>
      </c>
      <c r="D69" s="1">
        <v>45482</v>
      </c>
      <c r="E69" t="s">
        <v>20</v>
      </c>
      <c r="F69" t="s">
        <v>46</v>
      </c>
      <c r="G69" t="s">
        <v>47</v>
      </c>
      <c r="H69" t="s">
        <v>82</v>
      </c>
      <c r="I69" t="s">
        <v>89</v>
      </c>
      <c r="J69">
        <v>4</v>
      </c>
      <c r="K69" s="2">
        <v>650</v>
      </c>
      <c r="L69" s="2">
        <v>2080</v>
      </c>
      <c r="M69" s="3">
        <v>0.2</v>
      </c>
      <c r="N69" s="2">
        <v>988</v>
      </c>
      <c r="O69" t="s">
        <v>139</v>
      </c>
      <c r="P69" t="s">
        <v>67</v>
      </c>
      <c r="Q69" t="s">
        <v>27</v>
      </c>
    </row>
    <row r="70" spans="1:17" x14ac:dyDescent="0.3">
      <c r="A70" t="s">
        <v>212</v>
      </c>
      <c r="B70" t="s">
        <v>107</v>
      </c>
      <c r="C70" t="s">
        <v>108</v>
      </c>
      <c r="D70" s="1">
        <v>45545</v>
      </c>
      <c r="E70" t="s">
        <v>66</v>
      </c>
      <c r="F70" t="s">
        <v>59</v>
      </c>
      <c r="G70" t="s">
        <v>60</v>
      </c>
      <c r="H70" t="s">
        <v>33</v>
      </c>
      <c r="I70" t="s">
        <v>138</v>
      </c>
      <c r="J70">
        <v>4</v>
      </c>
      <c r="K70" s="2">
        <v>950</v>
      </c>
      <c r="L70" s="2">
        <v>3800</v>
      </c>
      <c r="M70" s="3">
        <v>0</v>
      </c>
      <c r="N70" s="2">
        <v>1824</v>
      </c>
      <c r="O70" t="s">
        <v>139</v>
      </c>
      <c r="P70" t="s">
        <v>35</v>
      </c>
      <c r="Q70" t="s">
        <v>27</v>
      </c>
    </row>
    <row r="71" spans="1:17" x14ac:dyDescent="0.3">
      <c r="A71" t="s">
        <v>213</v>
      </c>
      <c r="B71" t="s">
        <v>107</v>
      </c>
      <c r="C71" t="s">
        <v>108</v>
      </c>
      <c r="D71" s="1">
        <v>45539</v>
      </c>
      <c r="E71" t="s">
        <v>66</v>
      </c>
      <c r="F71" t="s">
        <v>87</v>
      </c>
      <c r="G71" t="s">
        <v>137</v>
      </c>
      <c r="H71" t="s">
        <v>33</v>
      </c>
      <c r="I71" t="s">
        <v>34</v>
      </c>
      <c r="J71">
        <v>4</v>
      </c>
      <c r="K71" s="2">
        <v>3200</v>
      </c>
      <c r="L71" s="2">
        <v>11520</v>
      </c>
      <c r="M71" s="3">
        <v>0.1</v>
      </c>
      <c r="N71" s="2">
        <v>3200</v>
      </c>
      <c r="O71" t="s">
        <v>90</v>
      </c>
      <c r="P71" t="s">
        <v>26</v>
      </c>
      <c r="Q71" t="s">
        <v>27</v>
      </c>
    </row>
    <row r="72" spans="1:17" x14ac:dyDescent="0.3">
      <c r="A72" t="s">
        <v>214</v>
      </c>
      <c r="B72" t="s">
        <v>215</v>
      </c>
      <c r="C72" t="s">
        <v>216</v>
      </c>
      <c r="D72" s="1">
        <v>45397</v>
      </c>
      <c r="E72" t="s">
        <v>97</v>
      </c>
      <c r="F72" t="s">
        <v>59</v>
      </c>
      <c r="G72" t="s">
        <v>168</v>
      </c>
      <c r="H72" t="s">
        <v>48</v>
      </c>
      <c r="I72" t="s">
        <v>49</v>
      </c>
      <c r="J72">
        <v>1</v>
      </c>
      <c r="K72" s="2">
        <v>18000</v>
      </c>
      <c r="L72" s="2">
        <v>14400</v>
      </c>
      <c r="M72" s="3">
        <v>0.2</v>
      </c>
      <c r="N72" s="2">
        <v>360</v>
      </c>
      <c r="O72" t="s">
        <v>40</v>
      </c>
      <c r="P72" t="s">
        <v>67</v>
      </c>
      <c r="Q72" t="s">
        <v>27</v>
      </c>
    </row>
    <row r="73" spans="1:17" x14ac:dyDescent="0.3">
      <c r="A73" t="s">
        <v>217</v>
      </c>
      <c r="B73" t="s">
        <v>51</v>
      </c>
      <c r="C73" t="s">
        <v>52</v>
      </c>
      <c r="D73" s="1">
        <v>45361</v>
      </c>
      <c r="E73" t="s">
        <v>160</v>
      </c>
      <c r="F73" t="s">
        <v>59</v>
      </c>
      <c r="G73" t="s">
        <v>168</v>
      </c>
      <c r="H73" t="s">
        <v>48</v>
      </c>
      <c r="I73" t="s">
        <v>100</v>
      </c>
      <c r="J73">
        <v>5</v>
      </c>
      <c r="K73" s="2">
        <v>2500</v>
      </c>
      <c r="L73" s="2">
        <v>10625</v>
      </c>
      <c r="M73" s="3">
        <v>0.15</v>
      </c>
      <c r="N73" s="2">
        <v>2875</v>
      </c>
      <c r="O73" t="s">
        <v>90</v>
      </c>
      <c r="P73" t="s">
        <v>67</v>
      </c>
      <c r="Q73" t="s">
        <v>27</v>
      </c>
    </row>
    <row r="74" spans="1:17" x14ac:dyDescent="0.3">
      <c r="A74" t="s">
        <v>218</v>
      </c>
      <c r="B74" t="s">
        <v>208</v>
      </c>
      <c r="C74" t="s">
        <v>209</v>
      </c>
      <c r="D74" s="1">
        <v>45626</v>
      </c>
      <c r="E74" t="s">
        <v>45</v>
      </c>
      <c r="F74" t="s">
        <v>87</v>
      </c>
      <c r="G74" t="s">
        <v>149</v>
      </c>
      <c r="H74" t="s">
        <v>23</v>
      </c>
      <c r="I74" t="s">
        <v>24</v>
      </c>
      <c r="J74">
        <v>3</v>
      </c>
      <c r="K74" s="2">
        <v>1100</v>
      </c>
      <c r="L74" s="2">
        <v>3300</v>
      </c>
      <c r="M74" s="3">
        <v>0</v>
      </c>
      <c r="N74" s="2">
        <v>1650</v>
      </c>
      <c r="O74" t="s">
        <v>40</v>
      </c>
      <c r="P74" t="s">
        <v>67</v>
      </c>
      <c r="Q74" t="s">
        <v>62</v>
      </c>
    </row>
    <row r="75" spans="1:17" x14ac:dyDescent="0.3">
      <c r="A75" t="s">
        <v>219</v>
      </c>
      <c r="B75" t="s">
        <v>220</v>
      </c>
      <c r="C75" t="s">
        <v>19</v>
      </c>
      <c r="D75" s="1">
        <v>45581</v>
      </c>
      <c r="E75" t="s">
        <v>31</v>
      </c>
      <c r="F75" t="s">
        <v>46</v>
      </c>
      <c r="G75" t="s">
        <v>93</v>
      </c>
      <c r="H75" t="s">
        <v>23</v>
      </c>
      <c r="I75" t="s">
        <v>39</v>
      </c>
      <c r="J75">
        <v>5</v>
      </c>
      <c r="K75" s="2">
        <v>2800</v>
      </c>
      <c r="L75" s="2">
        <v>14000</v>
      </c>
      <c r="M75" s="3">
        <v>0</v>
      </c>
      <c r="N75" s="2">
        <v>4760</v>
      </c>
      <c r="O75" t="s">
        <v>76</v>
      </c>
      <c r="P75" t="s">
        <v>55</v>
      </c>
      <c r="Q75" t="s">
        <v>27</v>
      </c>
    </row>
    <row r="76" spans="1:17" x14ac:dyDescent="0.3">
      <c r="A76" t="s">
        <v>221</v>
      </c>
      <c r="B76" t="s">
        <v>125</v>
      </c>
      <c r="C76" t="s">
        <v>126</v>
      </c>
      <c r="D76" s="1">
        <v>45639</v>
      </c>
      <c r="E76" t="s">
        <v>72</v>
      </c>
      <c r="F76" t="s">
        <v>59</v>
      </c>
      <c r="G76" t="s">
        <v>183</v>
      </c>
      <c r="H76" t="s">
        <v>23</v>
      </c>
      <c r="I76" t="s">
        <v>24</v>
      </c>
      <c r="J76">
        <v>4</v>
      </c>
      <c r="K76" s="2">
        <v>1100</v>
      </c>
      <c r="L76" s="2">
        <v>3960</v>
      </c>
      <c r="M76" s="3">
        <v>0.1</v>
      </c>
      <c r="N76" s="2">
        <v>1760</v>
      </c>
      <c r="O76" t="s">
        <v>40</v>
      </c>
      <c r="P76" t="s">
        <v>26</v>
      </c>
      <c r="Q76" t="s">
        <v>91</v>
      </c>
    </row>
    <row r="77" spans="1:17" x14ac:dyDescent="0.3">
      <c r="A77" t="s">
        <v>222</v>
      </c>
      <c r="B77" t="s">
        <v>115</v>
      </c>
      <c r="C77" t="s">
        <v>116</v>
      </c>
      <c r="D77" s="1">
        <v>45298</v>
      </c>
      <c r="E77" t="s">
        <v>118</v>
      </c>
      <c r="F77" t="s">
        <v>46</v>
      </c>
      <c r="G77" t="s">
        <v>47</v>
      </c>
      <c r="H77" t="s">
        <v>23</v>
      </c>
      <c r="I77" t="s">
        <v>135</v>
      </c>
      <c r="J77">
        <v>4</v>
      </c>
      <c r="K77" s="2">
        <v>1900</v>
      </c>
      <c r="L77" s="2">
        <v>6840</v>
      </c>
      <c r="M77" s="3">
        <v>0.1</v>
      </c>
      <c r="N77" s="2">
        <v>2280</v>
      </c>
      <c r="O77" t="s">
        <v>90</v>
      </c>
      <c r="P77" t="s">
        <v>67</v>
      </c>
      <c r="Q77" t="s">
        <v>27</v>
      </c>
    </row>
    <row r="78" spans="1:17" x14ac:dyDescent="0.3">
      <c r="A78" t="s">
        <v>223</v>
      </c>
      <c r="B78" t="s">
        <v>208</v>
      </c>
      <c r="C78" t="s">
        <v>209</v>
      </c>
      <c r="D78" s="1">
        <v>45292</v>
      </c>
      <c r="E78" t="s">
        <v>118</v>
      </c>
      <c r="F78" t="s">
        <v>21</v>
      </c>
      <c r="G78" t="s">
        <v>22</v>
      </c>
      <c r="H78" t="s">
        <v>23</v>
      </c>
      <c r="I78" t="s">
        <v>24</v>
      </c>
      <c r="J78">
        <v>2</v>
      </c>
      <c r="K78" s="2">
        <v>1100</v>
      </c>
      <c r="L78" s="2">
        <v>1870</v>
      </c>
      <c r="M78" s="3">
        <v>0.15</v>
      </c>
      <c r="N78" s="2">
        <v>770</v>
      </c>
      <c r="O78" t="s">
        <v>76</v>
      </c>
      <c r="P78" t="s">
        <v>41</v>
      </c>
      <c r="Q78" t="s">
        <v>27</v>
      </c>
    </row>
    <row r="79" spans="1:17" x14ac:dyDescent="0.3">
      <c r="A79" t="s">
        <v>224</v>
      </c>
      <c r="B79" t="s">
        <v>225</v>
      </c>
      <c r="C79" t="s">
        <v>226</v>
      </c>
      <c r="D79" s="1">
        <v>45379</v>
      </c>
      <c r="E79" t="s">
        <v>160</v>
      </c>
      <c r="F79" t="s">
        <v>46</v>
      </c>
      <c r="G79" t="s">
        <v>93</v>
      </c>
      <c r="H79" t="s">
        <v>48</v>
      </c>
      <c r="I79" t="s">
        <v>49</v>
      </c>
      <c r="J79">
        <v>2</v>
      </c>
      <c r="K79" s="2">
        <v>18000</v>
      </c>
      <c r="L79" s="2">
        <v>32400</v>
      </c>
      <c r="M79" s="3">
        <v>0.1</v>
      </c>
      <c r="N79" s="2">
        <v>4320</v>
      </c>
      <c r="O79" t="s">
        <v>40</v>
      </c>
      <c r="P79" t="s">
        <v>26</v>
      </c>
      <c r="Q79" t="s">
        <v>27</v>
      </c>
    </row>
    <row r="80" spans="1:17" x14ac:dyDescent="0.3">
      <c r="A80" t="s">
        <v>227</v>
      </c>
      <c r="B80" t="s">
        <v>128</v>
      </c>
      <c r="C80" t="s">
        <v>129</v>
      </c>
      <c r="D80" s="1">
        <v>45410</v>
      </c>
      <c r="E80" t="s">
        <v>97</v>
      </c>
      <c r="F80" t="s">
        <v>21</v>
      </c>
      <c r="G80" t="s">
        <v>81</v>
      </c>
      <c r="H80" t="s">
        <v>23</v>
      </c>
      <c r="I80" t="s">
        <v>39</v>
      </c>
      <c r="J80">
        <v>2</v>
      </c>
      <c r="K80" s="2">
        <v>2800</v>
      </c>
      <c r="L80" s="2">
        <v>5040</v>
      </c>
      <c r="M80" s="3">
        <v>0.1</v>
      </c>
      <c r="N80" s="2">
        <v>1344</v>
      </c>
      <c r="O80" t="s">
        <v>76</v>
      </c>
      <c r="P80" t="s">
        <v>55</v>
      </c>
      <c r="Q80" t="s">
        <v>27</v>
      </c>
    </row>
    <row r="81" spans="1:17" x14ac:dyDescent="0.3">
      <c r="A81" t="s">
        <v>228</v>
      </c>
      <c r="B81" t="s">
        <v>85</v>
      </c>
      <c r="C81" t="s">
        <v>86</v>
      </c>
      <c r="D81" s="1">
        <v>45372</v>
      </c>
      <c r="E81" t="s">
        <v>160</v>
      </c>
      <c r="F81" t="s">
        <v>59</v>
      </c>
      <c r="G81" t="s">
        <v>183</v>
      </c>
      <c r="H81" t="s">
        <v>82</v>
      </c>
      <c r="I81" t="s">
        <v>83</v>
      </c>
      <c r="J81">
        <v>2</v>
      </c>
      <c r="K81" s="2">
        <v>1200</v>
      </c>
      <c r="L81" s="2">
        <v>2280</v>
      </c>
      <c r="M81" s="3">
        <v>0.05</v>
      </c>
      <c r="N81" s="2">
        <v>1320</v>
      </c>
      <c r="O81" t="s">
        <v>40</v>
      </c>
      <c r="P81" t="s">
        <v>67</v>
      </c>
      <c r="Q81" t="s">
        <v>27</v>
      </c>
    </row>
    <row r="82" spans="1:17" x14ac:dyDescent="0.3">
      <c r="A82" t="s">
        <v>229</v>
      </c>
      <c r="B82" t="s">
        <v>230</v>
      </c>
      <c r="C82" t="s">
        <v>122</v>
      </c>
      <c r="D82" s="1">
        <v>45423</v>
      </c>
      <c r="E82" t="s">
        <v>113</v>
      </c>
      <c r="F82" t="s">
        <v>21</v>
      </c>
      <c r="G82" t="s">
        <v>53</v>
      </c>
      <c r="H82" t="s">
        <v>82</v>
      </c>
      <c r="I82" t="s">
        <v>98</v>
      </c>
      <c r="J82">
        <v>2</v>
      </c>
      <c r="K82" s="2">
        <v>2400</v>
      </c>
      <c r="L82" s="2">
        <v>4800</v>
      </c>
      <c r="M82" s="3">
        <v>0</v>
      </c>
      <c r="N82" s="2">
        <v>2496</v>
      </c>
      <c r="O82" t="s">
        <v>54</v>
      </c>
      <c r="P82" t="s">
        <v>67</v>
      </c>
      <c r="Q82" t="s">
        <v>91</v>
      </c>
    </row>
    <row r="83" spans="1:17" x14ac:dyDescent="0.3">
      <c r="A83" t="s">
        <v>231</v>
      </c>
      <c r="B83" t="s">
        <v>208</v>
      </c>
      <c r="C83" t="s">
        <v>209</v>
      </c>
      <c r="D83" s="1">
        <v>45483</v>
      </c>
      <c r="E83" t="s">
        <v>20</v>
      </c>
      <c r="F83" t="s">
        <v>46</v>
      </c>
      <c r="G83" t="s">
        <v>105</v>
      </c>
      <c r="H83" t="s">
        <v>23</v>
      </c>
      <c r="I83" t="s">
        <v>39</v>
      </c>
      <c r="J83">
        <v>4</v>
      </c>
      <c r="K83" s="2">
        <v>2800</v>
      </c>
      <c r="L83" s="2">
        <v>10080</v>
      </c>
      <c r="M83" s="3">
        <v>0.1</v>
      </c>
      <c r="N83" s="2">
        <v>2688</v>
      </c>
      <c r="O83" t="s">
        <v>40</v>
      </c>
      <c r="P83" t="s">
        <v>55</v>
      </c>
      <c r="Q83" t="s">
        <v>27</v>
      </c>
    </row>
    <row r="84" spans="1:17" x14ac:dyDescent="0.3">
      <c r="A84" t="s">
        <v>232</v>
      </c>
      <c r="B84" t="s">
        <v>64</v>
      </c>
      <c r="C84" t="s">
        <v>65</v>
      </c>
      <c r="D84" s="1">
        <v>45629</v>
      </c>
      <c r="E84" t="s">
        <v>72</v>
      </c>
      <c r="F84" t="s">
        <v>46</v>
      </c>
      <c r="G84" t="s">
        <v>93</v>
      </c>
      <c r="H84" t="s">
        <v>48</v>
      </c>
      <c r="I84" t="s">
        <v>174</v>
      </c>
      <c r="J84">
        <v>2</v>
      </c>
      <c r="K84" s="2">
        <v>52000</v>
      </c>
      <c r="L84" s="2">
        <v>98800</v>
      </c>
      <c r="M84" s="3">
        <v>0.05</v>
      </c>
      <c r="N84" s="2">
        <v>13520</v>
      </c>
      <c r="O84" t="s">
        <v>54</v>
      </c>
      <c r="P84" t="s">
        <v>35</v>
      </c>
      <c r="Q84" t="s">
        <v>27</v>
      </c>
    </row>
    <row r="85" spans="1:17" x14ac:dyDescent="0.3">
      <c r="A85" t="s">
        <v>233</v>
      </c>
      <c r="B85" t="s">
        <v>208</v>
      </c>
      <c r="C85" t="s">
        <v>209</v>
      </c>
      <c r="D85" s="1">
        <v>45385</v>
      </c>
      <c r="E85" t="s">
        <v>97</v>
      </c>
      <c r="F85" t="s">
        <v>87</v>
      </c>
      <c r="G85" t="s">
        <v>137</v>
      </c>
      <c r="H85" t="s">
        <v>48</v>
      </c>
      <c r="I85" t="s">
        <v>174</v>
      </c>
      <c r="J85">
        <v>4</v>
      </c>
      <c r="K85" s="2">
        <v>52000</v>
      </c>
      <c r="L85" s="2">
        <v>208000</v>
      </c>
      <c r="M85" s="3">
        <v>0</v>
      </c>
      <c r="N85" s="2">
        <v>37440</v>
      </c>
      <c r="O85" t="s">
        <v>40</v>
      </c>
      <c r="P85" t="s">
        <v>41</v>
      </c>
      <c r="Q85" t="s">
        <v>62</v>
      </c>
    </row>
    <row r="86" spans="1:17" x14ac:dyDescent="0.3">
      <c r="A86" t="s">
        <v>234</v>
      </c>
      <c r="B86" t="s">
        <v>111</v>
      </c>
      <c r="C86" t="s">
        <v>112</v>
      </c>
      <c r="D86" s="1">
        <v>45560</v>
      </c>
      <c r="E86" t="s">
        <v>66</v>
      </c>
      <c r="F86" t="s">
        <v>59</v>
      </c>
      <c r="G86" t="s">
        <v>168</v>
      </c>
      <c r="H86" t="s">
        <v>74</v>
      </c>
      <c r="I86" t="s">
        <v>145</v>
      </c>
      <c r="J86">
        <v>5</v>
      </c>
      <c r="K86" s="2">
        <v>799</v>
      </c>
      <c r="L86" s="2">
        <v>3595.5</v>
      </c>
      <c r="M86" s="3">
        <v>0.1</v>
      </c>
      <c r="N86" s="2">
        <v>1797.75</v>
      </c>
      <c r="O86" t="s">
        <v>76</v>
      </c>
      <c r="P86" t="s">
        <v>67</v>
      </c>
      <c r="Q86" t="s">
        <v>27</v>
      </c>
    </row>
    <row r="87" spans="1:17" x14ac:dyDescent="0.3">
      <c r="A87" t="s">
        <v>235</v>
      </c>
      <c r="B87" t="s">
        <v>102</v>
      </c>
      <c r="C87" t="s">
        <v>103</v>
      </c>
      <c r="D87" s="1">
        <v>45317</v>
      </c>
      <c r="E87" t="s">
        <v>118</v>
      </c>
      <c r="F87" t="s">
        <v>21</v>
      </c>
      <c r="G87" t="s">
        <v>22</v>
      </c>
      <c r="H87" t="s">
        <v>82</v>
      </c>
      <c r="I87" t="s">
        <v>98</v>
      </c>
      <c r="J87">
        <v>3</v>
      </c>
      <c r="K87" s="2">
        <v>2400</v>
      </c>
      <c r="L87" s="2">
        <v>6120</v>
      </c>
      <c r="M87" s="3">
        <v>0.15</v>
      </c>
      <c r="N87" s="2">
        <v>2664</v>
      </c>
      <c r="O87" t="s">
        <v>40</v>
      </c>
      <c r="P87" t="s">
        <v>26</v>
      </c>
      <c r="Q87" t="s">
        <v>68</v>
      </c>
    </row>
    <row r="88" spans="1:17" x14ac:dyDescent="0.3">
      <c r="A88" t="s">
        <v>236</v>
      </c>
      <c r="B88" t="s">
        <v>147</v>
      </c>
      <c r="C88" t="s">
        <v>148</v>
      </c>
      <c r="D88" s="1">
        <v>45422</v>
      </c>
      <c r="E88" t="s">
        <v>113</v>
      </c>
      <c r="F88" t="s">
        <v>46</v>
      </c>
      <c r="G88" t="s">
        <v>47</v>
      </c>
      <c r="H88" t="s">
        <v>48</v>
      </c>
      <c r="I88" t="s">
        <v>100</v>
      </c>
      <c r="J88">
        <v>5</v>
      </c>
      <c r="K88" s="2">
        <v>2500</v>
      </c>
      <c r="L88" s="2">
        <v>10625</v>
      </c>
      <c r="M88" s="3">
        <v>0.15</v>
      </c>
      <c r="N88" s="2">
        <v>2875</v>
      </c>
      <c r="O88" t="s">
        <v>54</v>
      </c>
      <c r="P88" t="s">
        <v>41</v>
      </c>
      <c r="Q88" t="s">
        <v>68</v>
      </c>
    </row>
    <row r="89" spans="1:17" x14ac:dyDescent="0.3">
      <c r="A89" t="s">
        <v>237</v>
      </c>
      <c r="B89" t="s">
        <v>238</v>
      </c>
      <c r="C89" t="s">
        <v>239</v>
      </c>
      <c r="D89" s="1">
        <v>45407</v>
      </c>
      <c r="E89" t="s">
        <v>97</v>
      </c>
      <c r="F89" t="s">
        <v>46</v>
      </c>
      <c r="G89" t="s">
        <v>47</v>
      </c>
      <c r="H89" t="s">
        <v>33</v>
      </c>
      <c r="I89" t="s">
        <v>61</v>
      </c>
      <c r="J89">
        <v>1</v>
      </c>
      <c r="K89" s="2">
        <v>1800</v>
      </c>
      <c r="L89" s="2">
        <v>1710</v>
      </c>
      <c r="M89" s="3">
        <v>0.05</v>
      </c>
      <c r="N89" s="2">
        <v>666</v>
      </c>
      <c r="O89" t="s">
        <v>90</v>
      </c>
      <c r="P89" t="s">
        <v>67</v>
      </c>
      <c r="Q89" t="s">
        <v>27</v>
      </c>
    </row>
    <row r="90" spans="1:17" x14ac:dyDescent="0.3">
      <c r="A90" t="s">
        <v>240</v>
      </c>
      <c r="B90" t="s">
        <v>115</v>
      </c>
      <c r="C90" t="s">
        <v>116</v>
      </c>
      <c r="D90" s="1">
        <v>45461</v>
      </c>
      <c r="E90" t="s">
        <v>80</v>
      </c>
      <c r="F90" t="s">
        <v>46</v>
      </c>
      <c r="G90" t="s">
        <v>93</v>
      </c>
      <c r="H90" t="s">
        <v>23</v>
      </c>
      <c r="I90" t="s">
        <v>24</v>
      </c>
      <c r="J90">
        <v>2</v>
      </c>
      <c r="K90" s="2">
        <v>1100</v>
      </c>
      <c r="L90" s="2">
        <v>1980</v>
      </c>
      <c r="M90" s="3">
        <v>0.1</v>
      </c>
      <c r="N90" s="2">
        <v>880</v>
      </c>
      <c r="O90" t="s">
        <v>54</v>
      </c>
      <c r="P90" t="s">
        <v>67</v>
      </c>
      <c r="Q90" t="s">
        <v>27</v>
      </c>
    </row>
    <row r="91" spans="1:17" x14ac:dyDescent="0.3">
      <c r="A91" t="s">
        <v>241</v>
      </c>
      <c r="B91" t="s">
        <v>111</v>
      </c>
      <c r="C91" t="s">
        <v>112</v>
      </c>
      <c r="D91" s="1">
        <v>45615</v>
      </c>
      <c r="E91" t="s">
        <v>45</v>
      </c>
      <c r="F91" t="s">
        <v>21</v>
      </c>
      <c r="G91" t="s">
        <v>32</v>
      </c>
      <c r="H91" t="s">
        <v>33</v>
      </c>
      <c r="I91" t="s">
        <v>34</v>
      </c>
      <c r="J91">
        <v>4</v>
      </c>
      <c r="K91" s="2">
        <v>3200</v>
      </c>
      <c r="L91" s="2">
        <v>10880</v>
      </c>
      <c r="M91" s="3">
        <v>0.15</v>
      </c>
      <c r="N91" s="2">
        <v>2560</v>
      </c>
      <c r="O91" t="s">
        <v>40</v>
      </c>
      <c r="P91" t="s">
        <v>35</v>
      </c>
      <c r="Q91" t="s">
        <v>27</v>
      </c>
    </row>
    <row r="92" spans="1:17" x14ac:dyDescent="0.3">
      <c r="A92" t="s">
        <v>242</v>
      </c>
      <c r="B92" t="s">
        <v>29</v>
      </c>
      <c r="C92" t="s">
        <v>30</v>
      </c>
      <c r="D92" s="1">
        <v>45570</v>
      </c>
      <c r="E92" t="s">
        <v>31</v>
      </c>
      <c r="F92" t="s">
        <v>46</v>
      </c>
      <c r="G92" t="s">
        <v>47</v>
      </c>
      <c r="H92" t="s">
        <v>23</v>
      </c>
      <c r="I92" t="s">
        <v>135</v>
      </c>
      <c r="J92">
        <v>1</v>
      </c>
      <c r="K92" s="2">
        <v>1900</v>
      </c>
      <c r="L92" s="2">
        <v>1710</v>
      </c>
      <c r="M92" s="3">
        <v>0.1</v>
      </c>
      <c r="N92" s="2">
        <v>570</v>
      </c>
      <c r="O92" t="s">
        <v>139</v>
      </c>
      <c r="P92" t="s">
        <v>26</v>
      </c>
      <c r="Q92" t="s">
        <v>27</v>
      </c>
    </row>
    <row r="93" spans="1:17" x14ac:dyDescent="0.3">
      <c r="A93" t="s">
        <v>243</v>
      </c>
      <c r="B93" t="s">
        <v>220</v>
      </c>
      <c r="C93" t="s">
        <v>19</v>
      </c>
      <c r="D93" s="1">
        <v>45557</v>
      </c>
      <c r="E93" t="s">
        <v>66</v>
      </c>
      <c r="F93" t="s">
        <v>21</v>
      </c>
      <c r="G93" t="s">
        <v>22</v>
      </c>
      <c r="H93" t="s">
        <v>23</v>
      </c>
      <c r="I93" t="s">
        <v>24</v>
      </c>
      <c r="J93">
        <v>4</v>
      </c>
      <c r="K93" s="2">
        <v>1100</v>
      </c>
      <c r="L93" s="2">
        <v>3960</v>
      </c>
      <c r="M93" s="3">
        <v>0.1</v>
      </c>
      <c r="N93" s="2">
        <v>1760</v>
      </c>
      <c r="O93" t="s">
        <v>76</v>
      </c>
      <c r="P93" t="s">
        <v>67</v>
      </c>
      <c r="Q93" t="s">
        <v>27</v>
      </c>
    </row>
    <row r="94" spans="1:17" x14ac:dyDescent="0.3">
      <c r="A94" t="s">
        <v>244</v>
      </c>
      <c r="B94" t="s">
        <v>43</v>
      </c>
      <c r="C94" t="s">
        <v>44</v>
      </c>
      <c r="D94" s="1">
        <v>45482</v>
      </c>
      <c r="E94" t="s">
        <v>20</v>
      </c>
      <c r="F94" t="s">
        <v>46</v>
      </c>
      <c r="G94" t="s">
        <v>47</v>
      </c>
      <c r="H94" t="s">
        <v>74</v>
      </c>
      <c r="I94" t="s">
        <v>145</v>
      </c>
      <c r="J94">
        <v>1</v>
      </c>
      <c r="K94" s="2">
        <v>799</v>
      </c>
      <c r="L94" s="2">
        <v>719.1</v>
      </c>
      <c r="M94" s="3">
        <v>0.1</v>
      </c>
      <c r="N94" s="2">
        <v>359.55</v>
      </c>
      <c r="O94" t="s">
        <v>90</v>
      </c>
      <c r="P94" t="s">
        <v>67</v>
      </c>
      <c r="Q94" t="s">
        <v>27</v>
      </c>
    </row>
    <row r="95" spans="1:17" x14ac:dyDescent="0.3">
      <c r="A95" t="s">
        <v>245</v>
      </c>
      <c r="B95" t="s">
        <v>225</v>
      </c>
      <c r="C95" t="s">
        <v>226</v>
      </c>
      <c r="D95" s="1">
        <v>45591</v>
      </c>
      <c r="E95" t="s">
        <v>31</v>
      </c>
      <c r="F95" t="s">
        <v>59</v>
      </c>
      <c r="G95" t="s">
        <v>168</v>
      </c>
      <c r="H95" t="s">
        <v>48</v>
      </c>
      <c r="I95" t="s">
        <v>100</v>
      </c>
      <c r="J95">
        <v>2</v>
      </c>
      <c r="K95" s="2">
        <v>2500</v>
      </c>
      <c r="L95" s="2">
        <v>4500</v>
      </c>
      <c r="M95" s="3">
        <v>0.1</v>
      </c>
      <c r="N95" s="2">
        <v>1400</v>
      </c>
      <c r="O95" t="s">
        <v>90</v>
      </c>
      <c r="P95" t="s">
        <v>35</v>
      </c>
      <c r="Q95" t="s">
        <v>27</v>
      </c>
    </row>
    <row r="96" spans="1:17" x14ac:dyDescent="0.3">
      <c r="A96" t="s">
        <v>246</v>
      </c>
      <c r="B96" t="s">
        <v>247</v>
      </c>
      <c r="C96" t="s">
        <v>248</v>
      </c>
      <c r="D96" s="1">
        <v>45384</v>
      </c>
      <c r="E96" t="s">
        <v>97</v>
      </c>
      <c r="F96" t="s">
        <v>87</v>
      </c>
      <c r="G96" t="s">
        <v>149</v>
      </c>
      <c r="H96" t="s">
        <v>48</v>
      </c>
      <c r="I96" t="s">
        <v>100</v>
      </c>
      <c r="J96">
        <v>3</v>
      </c>
      <c r="K96" s="2">
        <v>2500</v>
      </c>
      <c r="L96" s="2">
        <v>7500</v>
      </c>
      <c r="M96" s="3">
        <v>0</v>
      </c>
      <c r="N96" s="2">
        <v>2850</v>
      </c>
      <c r="O96" t="s">
        <v>76</v>
      </c>
      <c r="P96" t="s">
        <v>26</v>
      </c>
      <c r="Q96" t="s">
        <v>91</v>
      </c>
    </row>
    <row r="97" spans="1:17" x14ac:dyDescent="0.3">
      <c r="A97" t="s">
        <v>249</v>
      </c>
      <c r="B97" t="s">
        <v>172</v>
      </c>
      <c r="C97" t="s">
        <v>173</v>
      </c>
      <c r="D97" s="1">
        <v>45380</v>
      </c>
      <c r="E97" t="s">
        <v>160</v>
      </c>
      <c r="F97" t="s">
        <v>59</v>
      </c>
      <c r="G97" t="s">
        <v>60</v>
      </c>
      <c r="H97" t="s">
        <v>48</v>
      </c>
      <c r="I97" t="s">
        <v>49</v>
      </c>
      <c r="J97">
        <v>5</v>
      </c>
      <c r="K97" s="2">
        <v>18000</v>
      </c>
      <c r="L97" s="2">
        <v>81000</v>
      </c>
      <c r="M97" s="3">
        <v>0.1</v>
      </c>
      <c r="N97" s="2">
        <v>10800</v>
      </c>
      <c r="O97" t="s">
        <v>90</v>
      </c>
      <c r="P97" t="s">
        <v>67</v>
      </c>
      <c r="Q97" t="s">
        <v>91</v>
      </c>
    </row>
    <row r="98" spans="1:17" x14ac:dyDescent="0.3">
      <c r="A98" t="s">
        <v>250</v>
      </c>
      <c r="B98" t="s">
        <v>111</v>
      </c>
      <c r="C98" t="s">
        <v>112</v>
      </c>
      <c r="D98" s="1">
        <v>45336</v>
      </c>
      <c r="E98" t="s">
        <v>130</v>
      </c>
      <c r="F98" t="s">
        <v>87</v>
      </c>
      <c r="G98" t="s">
        <v>88</v>
      </c>
      <c r="H98" t="s">
        <v>33</v>
      </c>
      <c r="I98" t="s">
        <v>34</v>
      </c>
      <c r="J98">
        <v>3</v>
      </c>
      <c r="K98" s="2">
        <v>3200</v>
      </c>
      <c r="L98" s="2">
        <v>9600</v>
      </c>
      <c r="M98" s="3">
        <v>0</v>
      </c>
      <c r="N98" s="2">
        <v>3360</v>
      </c>
      <c r="O98" t="s">
        <v>25</v>
      </c>
      <c r="P98" t="s">
        <v>41</v>
      </c>
      <c r="Q98" t="s">
        <v>27</v>
      </c>
    </row>
    <row r="99" spans="1:17" x14ac:dyDescent="0.3">
      <c r="A99" t="s">
        <v>251</v>
      </c>
      <c r="B99" t="s">
        <v>151</v>
      </c>
      <c r="C99" t="s">
        <v>152</v>
      </c>
      <c r="D99" s="1">
        <v>45435</v>
      </c>
      <c r="E99" t="s">
        <v>113</v>
      </c>
      <c r="F99" t="s">
        <v>21</v>
      </c>
      <c r="G99" t="s">
        <v>22</v>
      </c>
      <c r="H99" t="s">
        <v>23</v>
      </c>
      <c r="I99" t="s">
        <v>135</v>
      </c>
      <c r="J99">
        <v>5</v>
      </c>
      <c r="K99" s="2">
        <v>1900</v>
      </c>
      <c r="L99" s="2">
        <v>7600</v>
      </c>
      <c r="M99" s="3">
        <v>0.2</v>
      </c>
      <c r="N99" s="2">
        <v>1900</v>
      </c>
      <c r="O99" t="s">
        <v>40</v>
      </c>
      <c r="P99" t="s">
        <v>41</v>
      </c>
      <c r="Q99" t="s">
        <v>27</v>
      </c>
    </row>
    <row r="100" spans="1:17" x14ac:dyDescent="0.3">
      <c r="A100" t="s">
        <v>252</v>
      </c>
      <c r="B100" t="s">
        <v>125</v>
      </c>
      <c r="C100" t="s">
        <v>126</v>
      </c>
      <c r="D100" s="1">
        <v>45374</v>
      </c>
      <c r="E100" t="s">
        <v>160</v>
      </c>
      <c r="F100" t="s">
        <v>46</v>
      </c>
      <c r="G100" t="s">
        <v>105</v>
      </c>
      <c r="H100" t="s">
        <v>33</v>
      </c>
      <c r="I100" t="s">
        <v>34</v>
      </c>
      <c r="J100">
        <v>4</v>
      </c>
      <c r="K100" s="2">
        <v>3200</v>
      </c>
      <c r="L100" s="2">
        <v>11520</v>
      </c>
      <c r="M100" s="3">
        <v>0.1</v>
      </c>
      <c r="N100" s="2">
        <v>3200</v>
      </c>
      <c r="O100" t="s">
        <v>54</v>
      </c>
      <c r="P100" t="s">
        <v>35</v>
      </c>
      <c r="Q100" t="s">
        <v>68</v>
      </c>
    </row>
    <row r="101" spans="1:17" x14ac:dyDescent="0.3">
      <c r="A101" t="s">
        <v>253</v>
      </c>
      <c r="B101" t="s">
        <v>215</v>
      </c>
      <c r="C101" t="s">
        <v>216</v>
      </c>
      <c r="D101" s="1">
        <v>45646</v>
      </c>
      <c r="E101" t="s">
        <v>72</v>
      </c>
      <c r="F101" t="s">
        <v>87</v>
      </c>
      <c r="G101" t="s">
        <v>137</v>
      </c>
      <c r="H101" t="s">
        <v>23</v>
      </c>
      <c r="I101" t="s">
        <v>135</v>
      </c>
      <c r="J101">
        <v>2</v>
      </c>
      <c r="K101" s="2">
        <v>1900</v>
      </c>
      <c r="L101" s="2">
        <v>3420</v>
      </c>
      <c r="M101" s="3">
        <v>0.1</v>
      </c>
      <c r="N101" s="2">
        <v>1140</v>
      </c>
      <c r="O101" t="s">
        <v>90</v>
      </c>
      <c r="P101" t="s">
        <v>41</v>
      </c>
      <c r="Q101" t="s">
        <v>27</v>
      </c>
    </row>
    <row r="102" spans="1:17" x14ac:dyDescent="0.3">
      <c r="A102" t="s">
        <v>254</v>
      </c>
      <c r="B102" t="s">
        <v>163</v>
      </c>
      <c r="C102" t="s">
        <v>164</v>
      </c>
      <c r="D102" s="1">
        <v>45384</v>
      </c>
      <c r="E102" t="s">
        <v>97</v>
      </c>
      <c r="F102" t="s">
        <v>59</v>
      </c>
      <c r="G102" t="s">
        <v>168</v>
      </c>
      <c r="H102" t="s">
        <v>82</v>
      </c>
      <c r="I102" t="s">
        <v>98</v>
      </c>
      <c r="J102">
        <v>1</v>
      </c>
      <c r="K102" s="2">
        <v>2400</v>
      </c>
      <c r="L102" s="2">
        <v>2160</v>
      </c>
      <c r="M102" s="3">
        <v>0.1</v>
      </c>
      <c r="N102" s="2">
        <v>1008</v>
      </c>
      <c r="O102" t="s">
        <v>139</v>
      </c>
      <c r="P102" t="s">
        <v>67</v>
      </c>
      <c r="Q102" t="s">
        <v>27</v>
      </c>
    </row>
    <row r="103" spans="1:17" x14ac:dyDescent="0.3">
      <c r="A103" t="s">
        <v>255</v>
      </c>
      <c r="B103" t="s">
        <v>238</v>
      </c>
      <c r="C103" t="s">
        <v>239</v>
      </c>
      <c r="D103" s="1">
        <v>45476</v>
      </c>
      <c r="E103" t="s">
        <v>20</v>
      </c>
      <c r="F103" t="s">
        <v>59</v>
      </c>
      <c r="G103" t="s">
        <v>168</v>
      </c>
      <c r="H103" t="s">
        <v>23</v>
      </c>
      <c r="I103" t="s">
        <v>39</v>
      </c>
      <c r="J103">
        <v>2</v>
      </c>
      <c r="K103" s="2">
        <v>2800</v>
      </c>
      <c r="L103" s="2">
        <v>5040</v>
      </c>
      <c r="M103" s="3">
        <v>0.1</v>
      </c>
      <c r="N103" s="2">
        <v>1344</v>
      </c>
      <c r="O103" t="s">
        <v>90</v>
      </c>
      <c r="P103" t="s">
        <v>67</v>
      </c>
      <c r="Q103" t="s">
        <v>62</v>
      </c>
    </row>
    <row r="104" spans="1:17" x14ac:dyDescent="0.3">
      <c r="A104" t="s">
        <v>256</v>
      </c>
      <c r="B104" t="s">
        <v>194</v>
      </c>
      <c r="C104" t="s">
        <v>152</v>
      </c>
      <c r="D104" s="1">
        <v>45559</v>
      </c>
      <c r="E104" t="s">
        <v>66</v>
      </c>
      <c r="F104" t="s">
        <v>59</v>
      </c>
      <c r="G104" t="s">
        <v>168</v>
      </c>
      <c r="H104" t="s">
        <v>48</v>
      </c>
      <c r="I104" t="s">
        <v>174</v>
      </c>
      <c r="J104">
        <v>2</v>
      </c>
      <c r="K104" s="2">
        <v>52000</v>
      </c>
      <c r="L104" s="2">
        <v>93600</v>
      </c>
      <c r="M104" s="3">
        <v>0.1</v>
      </c>
      <c r="N104" s="2">
        <v>8320</v>
      </c>
      <c r="O104" t="s">
        <v>40</v>
      </c>
      <c r="P104" t="s">
        <v>41</v>
      </c>
      <c r="Q104" t="s">
        <v>27</v>
      </c>
    </row>
    <row r="105" spans="1:17" x14ac:dyDescent="0.3">
      <c r="A105" t="s">
        <v>257</v>
      </c>
      <c r="B105" t="s">
        <v>111</v>
      </c>
      <c r="C105" t="s">
        <v>112</v>
      </c>
      <c r="D105" s="1">
        <v>45502</v>
      </c>
      <c r="E105" t="s">
        <v>20</v>
      </c>
      <c r="F105" t="s">
        <v>46</v>
      </c>
      <c r="G105" t="s">
        <v>105</v>
      </c>
      <c r="H105" t="s">
        <v>23</v>
      </c>
      <c r="I105" t="s">
        <v>39</v>
      </c>
      <c r="J105">
        <v>1</v>
      </c>
      <c r="K105" s="2">
        <v>2800</v>
      </c>
      <c r="L105" s="2">
        <v>2520</v>
      </c>
      <c r="M105" s="3">
        <v>0.1</v>
      </c>
      <c r="N105" s="2">
        <v>672</v>
      </c>
      <c r="O105" t="s">
        <v>139</v>
      </c>
      <c r="P105" t="s">
        <v>41</v>
      </c>
      <c r="Q105" t="s">
        <v>27</v>
      </c>
    </row>
    <row r="106" spans="1:17" x14ac:dyDescent="0.3">
      <c r="A106" t="s">
        <v>258</v>
      </c>
      <c r="B106" t="s">
        <v>29</v>
      </c>
      <c r="C106" t="s">
        <v>30</v>
      </c>
      <c r="D106" s="1">
        <v>45463</v>
      </c>
      <c r="E106" t="s">
        <v>80</v>
      </c>
      <c r="F106" t="s">
        <v>59</v>
      </c>
      <c r="G106" t="s">
        <v>168</v>
      </c>
      <c r="H106" t="s">
        <v>74</v>
      </c>
      <c r="I106" t="s">
        <v>75</v>
      </c>
      <c r="J106">
        <v>4</v>
      </c>
      <c r="K106" s="2">
        <v>1500</v>
      </c>
      <c r="L106" s="2">
        <v>5700</v>
      </c>
      <c r="M106" s="3">
        <v>0.05</v>
      </c>
      <c r="N106" s="2">
        <v>2700</v>
      </c>
      <c r="O106" t="s">
        <v>139</v>
      </c>
      <c r="P106" t="s">
        <v>55</v>
      </c>
      <c r="Q106" t="s">
        <v>91</v>
      </c>
    </row>
    <row r="107" spans="1:17" x14ac:dyDescent="0.3">
      <c r="A107" t="s">
        <v>259</v>
      </c>
      <c r="B107" t="s">
        <v>260</v>
      </c>
      <c r="C107" t="s">
        <v>261</v>
      </c>
      <c r="D107" s="1">
        <v>45515</v>
      </c>
      <c r="E107" t="s">
        <v>104</v>
      </c>
      <c r="F107" t="s">
        <v>59</v>
      </c>
      <c r="G107" t="s">
        <v>168</v>
      </c>
      <c r="H107" t="s">
        <v>23</v>
      </c>
      <c r="I107" t="s">
        <v>39</v>
      </c>
      <c r="J107">
        <v>1</v>
      </c>
      <c r="K107" s="2">
        <v>2800</v>
      </c>
      <c r="L107" s="2">
        <v>2660</v>
      </c>
      <c r="M107" s="3">
        <v>0.05</v>
      </c>
      <c r="N107" s="2">
        <v>812</v>
      </c>
      <c r="O107" t="s">
        <v>40</v>
      </c>
      <c r="P107" t="s">
        <v>26</v>
      </c>
      <c r="Q107" t="s">
        <v>27</v>
      </c>
    </row>
    <row r="108" spans="1:17" x14ac:dyDescent="0.3">
      <c r="A108" t="s">
        <v>262</v>
      </c>
      <c r="B108" t="s">
        <v>111</v>
      </c>
      <c r="C108" t="s">
        <v>112</v>
      </c>
      <c r="D108" s="1">
        <v>45644</v>
      </c>
      <c r="E108" t="s">
        <v>72</v>
      </c>
      <c r="F108" t="s">
        <v>59</v>
      </c>
      <c r="G108" t="s">
        <v>60</v>
      </c>
      <c r="H108" t="s">
        <v>82</v>
      </c>
      <c r="I108" t="s">
        <v>89</v>
      </c>
      <c r="J108">
        <v>5</v>
      </c>
      <c r="K108" s="2">
        <v>650</v>
      </c>
      <c r="L108" s="2">
        <v>3087.5</v>
      </c>
      <c r="M108" s="3">
        <v>0.05</v>
      </c>
      <c r="N108" s="2">
        <v>1722.5</v>
      </c>
      <c r="O108" t="s">
        <v>139</v>
      </c>
      <c r="P108" t="s">
        <v>55</v>
      </c>
      <c r="Q108" t="s">
        <v>27</v>
      </c>
    </row>
    <row r="109" spans="1:17" x14ac:dyDescent="0.3">
      <c r="A109" t="s">
        <v>263</v>
      </c>
      <c r="B109" t="s">
        <v>70</v>
      </c>
      <c r="C109" t="s">
        <v>71</v>
      </c>
      <c r="D109" s="1">
        <v>45429</v>
      </c>
      <c r="E109" t="s">
        <v>113</v>
      </c>
      <c r="F109" t="s">
        <v>21</v>
      </c>
      <c r="G109" t="s">
        <v>53</v>
      </c>
      <c r="H109" t="s">
        <v>33</v>
      </c>
      <c r="I109" t="s">
        <v>61</v>
      </c>
      <c r="J109">
        <v>3</v>
      </c>
      <c r="K109" s="2">
        <v>1800</v>
      </c>
      <c r="L109" s="2">
        <v>4320</v>
      </c>
      <c r="M109" s="3">
        <v>0.2</v>
      </c>
      <c r="N109" s="2">
        <v>1188</v>
      </c>
      <c r="O109" t="s">
        <v>25</v>
      </c>
      <c r="P109" t="s">
        <v>26</v>
      </c>
      <c r="Q109" t="s">
        <v>27</v>
      </c>
    </row>
    <row r="110" spans="1:17" x14ac:dyDescent="0.3">
      <c r="A110" t="s">
        <v>264</v>
      </c>
      <c r="B110" t="s">
        <v>64</v>
      </c>
      <c r="C110" t="s">
        <v>65</v>
      </c>
      <c r="D110" s="1">
        <v>45352</v>
      </c>
      <c r="E110" t="s">
        <v>160</v>
      </c>
      <c r="F110" t="s">
        <v>21</v>
      </c>
      <c r="G110" t="s">
        <v>32</v>
      </c>
      <c r="H110" t="s">
        <v>74</v>
      </c>
      <c r="I110" t="s">
        <v>195</v>
      </c>
      <c r="J110">
        <v>4</v>
      </c>
      <c r="K110" s="2">
        <v>2200</v>
      </c>
      <c r="L110" s="2">
        <v>8360</v>
      </c>
      <c r="M110" s="3">
        <v>0.05</v>
      </c>
      <c r="N110" s="2">
        <v>3520</v>
      </c>
      <c r="O110" t="s">
        <v>40</v>
      </c>
      <c r="P110" t="s">
        <v>41</v>
      </c>
      <c r="Q110" t="s">
        <v>62</v>
      </c>
    </row>
    <row r="111" spans="1:17" x14ac:dyDescent="0.3">
      <c r="A111" t="s">
        <v>265</v>
      </c>
      <c r="B111" t="s">
        <v>151</v>
      </c>
      <c r="C111" t="s">
        <v>152</v>
      </c>
      <c r="D111" s="1">
        <v>45344</v>
      </c>
      <c r="E111" t="s">
        <v>130</v>
      </c>
      <c r="F111" t="s">
        <v>59</v>
      </c>
      <c r="G111" t="s">
        <v>168</v>
      </c>
      <c r="H111" t="s">
        <v>23</v>
      </c>
      <c r="I111" t="s">
        <v>24</v>
      </c>
      <c r="J111">
        <v>1</v>
      </c>
      <c r="K111" s="2">
        <v>1100</v>
      </c>
      <c r="L111" s="2">
        <v>990</v>
      </c>
      <c r="M111" s="3">
        <v>0.1</v>
      </c>
      <c r="N111" s="2">
        <v>440</v>
      </c>
      <c r="O111" t="s">
        <v>139</v>
      </c>
      <c r="P111" t="s">
        <v>67</v>
      </c>
      <c r="Q111" t="s">
        <v>91</v>
      </c>
    </row>
    <row r="112" spans="1:17" x14ac:dyDescent="0.3">
      <c r="A112" t="s">
        <v>266</v>
      </c>
      <c r="B112" t="s">
        <v>194</v>
      </c>
      <c r="C112" t="s">
        <v>152</v>
      </c>
      <c r="D112" s="1">
        <v>45559</v>
      </c>
      <c r="E112" t="s">
        <v>66</v>
      </c>
      <c r="F112" t="s">
        <v>46</v>
      </c>
      <c r="G112" t="s">
        <v>47</v>
      </c>
      <c r="H112" t="s">
        <v>33</v>
      </c>
      <c r="I112" t="s">
        <v>138</v>
      </c>
      <c r="J112">
        <v>3</v>
      </c>
      <c r="K112" s="2">
        <v>950</v>
      </c>
      <c r="L112" s="2">
        <v>2280</v>
      </c>
      <c r="M112" s="3">
        <v>0.2</v>
      </c>
      <c r="N112" s="2">
        <v>798</v>
      </c>
      <c r="O112" t="s">
        <v>139</v>
      </c>
      <c r="P112" t="s">
        <v>55</v>
      </c>
      <c r="Q112" t="s">
        <v>27</v>
      </c>
    </row>
    <row r="113" spans="1:17" x14ac:dyDescent="0.3">
      <c r="A113" t="s">
        <v>267</v>
      </c>
      <c r="B113" t="s">
        <v>70</v>
      </c>
      <c r="C113" t="s">
        <v>71</v>
      </c>
      <c r="D113" s="1">
        <v>45493</v>
      </c>
      <c r="E113" t="s">
        <v>20</v>
      </c>
      <c r="F113" t="s">
        <v>59</v>
      </c>
      <c r="G113" t="s">
        <v>168</v>
      </c>
      <c r="H113" t="s">
        <v>33</v>
      </c>
      <c r="I113" t="s">
        <v>61</v>
      </c>
      <c r="J113">
        <v>2</v>
      </c>
      <c r="K113" s="2">
        <v>1800</v>
      </c>
      <c r="L113" s="2">
        <v>3240</v>
      </c>
      <c r="M113" s="3">
        <v>0.1</v>
      </c>
      <c r="N113" s="2">
        <v>1152</v>
      </c>
      <c r="O113" t="s">
        <v>25</v>
      </c>
      <c r="P113" t="s">
        <v>55</v>
      </c>
      <c r="Q113" t="s">
        <v>27</v>
      </c>
    </row>
    <row r="114" spans="1:17" x14ac:dyDescent="0.3">
      <c r="A114" t="s">
        <v>268</v>
      </c>
      <c r="B114" t="s">
        <v>111</v>
      </c>
      <c r="C114" t="s">
        <v>112</v>
      </c>
      <c r="D114" s="1">
        <v>45611</v>
      </c>
      <c r="E114" t="s">
        <v>45</v>
      </c>
      <c r="F114" t="s">
        <v>21</v>
      </c>
      <c r="G114" t="s">
        <v>22</v>
      </c>
      <c r="H114" t="s">
        <v>48</v>
      </c>
      <c r="I114" t="s">
        <v>174</v>
      </c>
      <c r="J114">
        <v>3</v>
      </c>
      <c r="K114" s="2">
        <v>52000</v>
      </c>
      <c r="L114" s="2">
        <v>132600</v>
      </c>
      <c r="M114" s="3">
        <v>0.15</v>
      </c>
      <c r="N114" s="2">
        <v>4680</v>
      </c>
      <c r="O114" t="s">
        <v>76</v>
      </c>
      <c r="P114" t="s">
        <v>35</v>
      </c>
      <c r="Q114" t="s">
        <v>91</v>
      </c>
    </row>
    <row r="115" spans="1:17" x14ac:dyDescent="0.3">
      <c r="A115" t="s">
        <v>269</v>
      </c>
      <c r="B115" t="s">
        <v>220</v>
      </c>
      <c r="C115" t="s">
        <v>19</v>
      </c>
      <c r="D115" s="1">
        <v>45388</v>
      </c>
      <c r="E115" t="s">
        <v>97</v>
      </c>
      <c r="F115" t="s">
        <v>87</v>
      </c>
      <c r="G115" t="s">
        <v>137</v>
      </c>
      <c r="H115" t="s">
        <v>33</v>
      </c>
      <c r="I115" t="s">
        <v>138</v>
      </c>
      <c r="J115">
        <v>5</v>
      </c>
      <c r="K115" s="2">
        <v>950</v>
      </c>
      <c r="L115" s="2">
        <v>3800</v>
      </c>
      <c r="M115" s="3">
        <v>0.2</v>
      </c>
      <c r="N115" s="2">
        <v>1330</v>
      </c>
      <c r="O115" t="s">
        <v>76</v>
      </c>
      <c r="P115" t="s">
        <v>35</v>
      </c>
      <c r="Q115" t="s">
        <v>27</v>
      </c>
    </row>
    <row r="116" spans="1:17" x14ac:dyDescent="0.3">
      <c r="A116" t="s">
        <v>270</v>
      </c>
      <c r="B116" t="s">
        <v>230</v>
      </c>
      <c r="C116" t="s">
        <v>122</v>
      </c>
      <c r="D116" s="1">
        <v>45496</v>
      </c>
      <c r="E116" t="s">
        <v>20</v>
      </c>
      <c r="F116" t="s">
        <v>87</v>
      </c>
      <c r="G116" t="s">
        <v>109</v>
      </c>
      <c r="H116" t="s">
        <v>74</v>
      </c>
      <c r="I116" t="s">
        <v>195</v>
      </c>
      <c r="J116">
        <v>4</v>
      </c>
      <c r="K116" s="2">
        <v>2200</v>
      </c>
      <c r="L116" s="2">
        <v>8800</v>
      </c>
      <c r="M116" s="3">
        <v>0</v>
      </c>
      <c r="N116" s="2">
        <v>3960</v>
      </c>
      <c r="O116" t="s">
        <v>90</v>
      </c>
      <c r="P116" t="s">
        <v>55</v>
      </c>
      <c r="Q116" t="s">
        <v>91</v>
      </c>
    </row>
    <row r="117" spans="1:17" x14ac:dyDescent="0.3">
      <c r="A117" t="s">
        <v>271</v>
      </c>
      <c r="B117" t="s">
        <v>111</v>
      </c>
      <c r="C117" t="s">
        <v>112</v>
      </c>
      <c r="D117" s="1">
        <v>45632</v>
      </c>
      <c r="E117" t="s">
        <v>72</v>
      </c>
      <c r="F117" t="s">
        <v>46</v>
      </c>
      <c r="G117" t="s">
        <v>47</v>
      </c>
      <c r="H117" t="s">
        <v>48</v>
      </c>
      <c r="I117" t="s">
        <v>174</v>
      </c>
      <c r="J117">
        <v>4</v>
      </c>
      <c r="K117" s="2">
        <v>52000</v>
      </c>
      <c r="L117" s="2">
        <v>187200</v>
      </c>
      <c r="M117" s="3">
        <v>0.1</v>
      </c>
      <c r="N117" s="2">
        <v>16640</v>
      </c>
      <c r="O117" t="s">
        <v>139</v>
      </c>
      <c r="P117" t="s">
        <v>35</v>
      </c>
      <c r="Q117" t="s">
        <v>62</v>
      </c>
    </row>
    <row r="118" spans="1:17" x14ac:dyDescent="0.3">
      <c r="A118" t="s">
        <v>272</v>
      </c>
      <c r="B118" t="s">
        <v>85</v>
      </c>
      <c r="C118" t="s">
        <v>86</v>
      </c>
      <c r="D118" s="1">
        <v>45513</v>
      </c>
      <c r="E118" t="s">
        <v>104</v>
      </c>
      <c r="F118" t="s">
        <v>87</v>
      </c>
      <c r="G118" t="s">
        <v>137</v>
      </c>
      <c r="H118" t="s">
        <v>82</v>
      </c>
      <c r="I118" t="s">
        <v>89</v>
      </c>
      <c r="J118">
        <v>3</v>
      </c>
      <c r="K118" s="2">
        <v>650</v>
      </c>
      <c r="L118" s="2">
        <v>1657.5</v>
      </c>
      <c r="M118" s="3">
        <v>0.15</v>
      </c>
      <c r="N118" s="2">
        <v>838.5</v>
      </c>
      <c r="O118" t="s">
        <v>90</v>
      </c>
      <c r="P118" t="s">
        <v>35</v>
      </c>
      <c r="Q118" t="s">
        <v>27</v>
      </c>
    </row>
    <row r="119" spans="1:17" x14ac:dyDescent="0.3">
      <c r="A119" t="s">
        <v>273</v>
      </c>
      <c r="B119" t="s">
        <v>260</v>
      </c>
      <c r="C119" t="s">
        <v>261</v>
      </c>
      <c r="D119" s="1">
        <v>45570</v>
      </c>
      <c r="E119" t="s">
        <v>31</v>
      </c>
      <c r="F119" t="s">
        <v>87</v>
      </c>
      <c r="G119" t="s">
        <v>137</v>
      </c>
      <c r="H119" t="s">
        <v>33</v>
      </c>
      <c r="I119" t="s">
        <v>61</v>
      </c>
      <c r="J119">
        <v>5</v>
      </c>
      <c r="K119" s="2">
        <v>1800</v>
      </c>
      <c r="L119" s="2">
        <v>9000</v>
      </c>
      <c r="M119" s="3">
        <v>0</v>
      </c>
      <c r="N119" s="2">
        <v>3780</v>
      </c>
      <c r="O119" t="s">
        <v>54</v>
      </c>
      <c r="P119" t="s">
        <v>35</v>
      </c>
      <c r="Q119" t="s">
        <v>62</v>
      </c>
    </row>
    <row r="120" spans="1:17" x14ac:dyDescent="0.3">
      <c r="A120" t="s">
        <v>274</v>
      </c>
      <c r="B120" t="s">
        <v>125</v>
      </c>
      <c r="C120" t="s">
        <v>126</v>
      </c>
      <c r="D120" s="1">
        <v>45595</v>
      </c>
      <c r="E120" t="s">
        <v>31</v>
      </c>
      <c r="F120" t="s">
        <v>87</v>
      </c>
      <c r="G120" t="s">
        <v>149</v>
      </c>
      <c r="H120" t="s">
        <v>33</v>
      </c>
      <c r="I120" t="s">
        <v>138</v>
      </c>
      <c r="J120">
        <v>5</v>
      </c>
      <c r="K120" s="2">
        <v>950</v>
      </c>
      <c r="L120" s="2">
        <v>4512.5</v>
      </c>
      <c r="M120" s="3">
        <v>0.05</v>
      </c>
      <c r="N120" s="2">
        <v>2042.5</v>
      </c>
      <c r="O120" t="s">
        <v>76</v>
      </c>
      <c r="P120" t="s">
        <v>41</v>
      </c>
      <c r="Q120" t="s">
        <v>62</v>
      </c>
    </row>
    <row r="121" spans="1:17" x14ac:dyDescent="0.3">
      <c r="A121" t="s">
        <v>275</v>
      </c>
      <c r="B121" t="s">
        <v>107</v>
      </c>
      <c r="C121" t="s">
        <v>108</v>
      </c>
      <c r="D121" s="1">
        <v>45597</v>
      </c>
      <c r="E121" t="s">
        <v>45</v>
      </c>
      <c r="F121" t="s">
        <v>87</v>
      </c>
      <c r="G121" t="s">
        <v>137</v>
      </c>
      <c r="H121" t="s">
        <v>74</v>
      </c>
      <c r="I121" t="s">
        <v>75</v>
      </c>
      <c r="J121">
        <v>4</v>
      </c>
      <c r="K121" s="2">
        <v>1500</v>
      </c>
      <c r="L121" s="2">
        <v>5400</v>
      </c>
      <c r="M121" s="3">
        <v>0.1</v>
      </c>
      <c r="N121" s="2">
        <v>2400</v>
      </c>
      <c r="O121" t="s">
        <v>25</v>
      </c>
      <c r="P121" t="s">
        <v>35</v>
      </c>
      <c r="Q121" t="s">
        <v>68</v>
      </c>
    </row>
    <row r="122" spans="1:17" x14ac:dyDescent="0.3">
      <c r="A122" t="s">
        <v>276</v>
      </c>
      <c r="B122" t="s">
        <v>197</v>
      </c>
      <c r="C122" t="s">
        <v>198</v>
      </c>
      <c r="D122" s="1">
        <v>45590</v>
      </c>
      <c r="E122" t="s">
        <v>31</v>
      </c>
      <c r="F122" t="s">
        <v>21</v>
      </c>
      <c r="G122" t="s">
        <v>22</v>
      </c>
      <c r="H122" t="s">
        <v>33</v>
      </c>
      <c r="I122" t="s">
        <v>61</v>
      </c>
      <c r="J122">
        <v>1</v>
      </c>
      <c r="K122" s="2">
        <v>1800</v>
      </c>
      <c r="L122" s="2">
        <v>1620</v>
      </c>
      <c r="M122" s="3">
        <v>0.1</v>
      </c>
      <c r="N122" s="2">
        <v>576</v>
      </c>
      <c r="O122" t="s">
        <v>40</v>
      </c>
      <c r="P122" t="s">
        <v>55</v>
      </c>
      <c r="Q122" t="s">
        <v>91</v>
      </c>
    </row>
    <row r="123" spans="1:17" x14ac:dyDescent="0.3">
      <c r="A123" t="s">
        <v>277</v>
      </c>
      <c r="B123" t="s">
        <v>163</v>
      </c>
      <c r="C123" t="s">
        <v>164</v>
      </c>
      <c r="D123" s="1">
        <v>45402</v>
      </c>
      <c r="E123" t="s">
        <v>97</v>
      </c>
      <c r="F123" t="s">
        <v>46</v>
      </c>
      <c r="G123" t="s">
        <v>93</v>
      </c>
      <c r="H123" t="s">
        <v>33</v>
      </c>
      <c r="I123" t="s">
        <v>61</v>
      </c>
      <c r="J123">
        <v>4</v>
      </c>
      <c r="K123" s="2">
        <v>1800</v>
      </c>
      <c r="L123" s="2">
        <v>6120</v>
      </c>
      <c r="M123" s="3">
        <v>0.15</v>
      </c>
      <c r="N123" s="2">
        <v>1944</v>
      </c>
      <c r="O123" t="s">
        <v>76</v>
      </c>
      <c r="P123" t="s">
        <v>26</v>
      </c>
      <c r="Q123" t="s">
        <v>68</v>
      </c>
    </row>
    <row r="124" spans="1:17" x14ac:dyDescent="0.3">
      <c r="A124" t="s">
        <v>278</v>
      </c>
      <c r="B124" t="s">
        <v>121</v>
      </c>
      <c r="C124" t="s">
        <v>122</v>
      </c>
      <c r="D124" s="1">
        <v>45318</v>
      </c>
      <c r="E124" t="s">
        <v>118</v>
      </c>
      <c r="F124" t="s">
        <v>21</v>
      </c>
      <c r="G124" t="s">
        <v>32</v>
      </c>
      <c r="H124" t="s">
        <v>82</v>
      </c>
      <c r="I124" t="s">
        <v>83</v>
      </c>
      <c r="J124">
        <v>2</v>
      </c>
      <c r="K124" s="2">
        <v>1200</v>
      </c>
      <c r="L124" s="2">
        <v>2280</v>
      </c>
      <c r="M124" s="3">
        <v>0.05</v>
      </c>
      <c r="N124" s="2">
        <v>1320</v>
      </c>
      <c r="O124" t="s">
        <v>40</v>
      </c>
      <c r="P124" t="s">
        <v>41</v>
      </c>
      <c r="Q124" t="s">
        <v>91</v>
      </c>
    </row>
    <row r="125" spans="1:17" x14ac:dyDescent="0.3">
      <c r="A125" t="s">
        <v>279</v>
      </c>
      <c r="B125" t="s">
        <v>247</v>
      </c>
      <c r="C125" t="s">
        <v>248</v>
      </c>
      <c r="D125" s="1">
        <v>45430</v>
      </c>
      <c r="E125" t="s">
        <v>113</v>
      </c>
      <c r="F125" t="s">
        <v>21</v>
      </c>
      <c r="G125" t="s">
        <v>53</v>
      </c>
      <c r="H125" t="s">
        <v>48</v>
      </c>
      <c r="I125" t="s">
        <v>49</v>
      </c>
      <c r="J125">
        <v>4</v>
      </c>
      <c r="K125" s="2">
        <v>18000</v>
      </c>
      <c r="L125" s="2">
        <v>72000</v>
      </c>
      <c r="M125" s="3">
        <v>0</v>
      </c>
      <c r="N125" s="2">
        <v>15840</v>
      </c>
      <c r="O125" t="s">
        <v>25</v>
      </c>
      <c r="P125" t="s">
        <v>41</v>
      </c>
      <c r="Q125" t="s">
        <v>27</v>
      </c>
    </row>
    <row r="126" spans="1:17" x14ac:dyDescent="0.3">
      <c r="A126" t="s">
        <v>280</v>
      </c>
      <c r="B126" t="s">
        <v>172</v>
      </c>
      <c r="C126" t="s">
        <v>173</v>
      </c>
      <c r="D126" s="1">
        <v>45330</v>
      </c>
      <c r="E126" t="s">
        <v>130</v>
      </c>
      <c r="F126" t="s">
        <v>46</v>
      </c>
      <c r="G126" t="s">
        <v>105</v>
      </c>
      <c r="H126" t="s">
        <v>48</v>
      </c>
      <c r="I126" t="s">
        <v>100</v>
      </c>
      <c r="J126">
        <v>3</v>
      </c>
      <c r="K126" s="2">
        <v>2500</v>
      </c>
      <c r="L126" s="2">
        <v>7500</v>
      </c>
      <c r="M126" s="3">
        <v>0</v>
      </c>
      <c r="N126" s="2">
        <v>2850</v>
      </c>
      <c r="O126" t="s">
        <v>76</v>
      </c>
      <c r="P126" t="s">
        <v>67</v>
      </c>
      <c r="Q126" t="s">
        <v>27</v>
      </c>
    </row>
    <row r="127" spans="1:17" x14ac:dyDescent="0.3">
      <c r="A127" t="s">
        <v>281</v>
      </c>
      <c r="B127" t="s">
        <v>151</v>
      </c>
      <c r="C127" t="s">
        <v>152</v>
      </c>
      <c r="D127" s="1">
        <v>45465</v>
      </c>
      <c r="E127" t="s">
        <v>80</v>
      </c>
      <c r="F127" t="s">
        <v>59</v>
      </c>
      <c r="G127" t="s">
        <v>60</v>
      </c>
      <c r="H127" t="s">
        <v>74</v>
      </c>
      <c r="I127" t="s">
        <v>195</v>
      </c>
      <c r="J127">
        <v>4</v>
      </c>
      <c r="K127" s="2">
        <v>2200</v>
      </c>
      <c r="L127" s="2">
        <v>8800</v>
      </c>
      <c r="M127" s="3">
        <v>0</v>
      </c>
      <c r="N127" s="2">
        <v>3960</v>
      </c>
      <c r="O127" t="s">
        <v>54</v>
      </c>
      <c r="P127" t="s">
        <v>55</v>
      </c>
      <c r="Q127" t="s">
        <v>27</v>
      </c>
    </row>
    <row r="128" spans="1:17" x14ac:dyDescent="0.3">
      <c r="A128" t="s">
        <v>282</v>
      </c>
      <c r="B128" t="s">
        <v>147</v>
      </c>
      <c r="C128" t="s">
        <v>148</v>
      </c>
      <c r="D128" s="1">
        <v>45305</v>
      </c>
      <c r="E128" t="s">
        <v>118</v>
      </c>
      <c r="F128" t="s">
        <v>87</v>
      </c>
      <c r="G128" t="s">
        <v>149</v>
      </c>
      <c r="H128" t="s">
        <v>23</v>
      </c>
      <c r="I128" t="s">
        <v>24</v>
      </c>
      <c r="J128">
        <v>2</v>
      </c>
      <c r="K128" s="2">
        <v>1100</v>
      </c>
      <c r="L128" s="2">
        <v>2200</v>
      </c>
      <c r="M128" s="3">
        <v>0</v>
      </c>
      <c r="N128" s="2">
        <v>1100</v>
      </c>
      <c r="O128" t="s">
        <v>40</v>
      </c>
      <c r="P128" t="s">
        <v>55</v>
      </c>
      <c r="Q128" t="s">
        <v>27</v>
      </c>
    </row>
    <row r="129" spans="1:17" x14ac:dyDescent="0.3">
      <c r="A129" t="s">
        <v>283</v>
      </c>
      <c r="B129" t="s">
        <v>284</v>
      </c>
      <c r="C129" t="s">
        <v>285</v>
      </c>
      <c r="D129" s="1">
        <v>45301</v>
      </c>
      <c r="E129" t="s">
        <v>118</v>
      </c>
      <c r="F129" t="s">
        <v>59</v>
      </c>
      <c r="G129" t="s">
        <v>168</v>
      </c>
      <c r="H129" t="s">
        <v>74</v>
      </c>
      <c r="I129" t="s">
        <v>145</v>
      </c>
      <c r="J129">
        <v>1</v>
      </c>
      <c r="K129" s="2">
        <v>799</v>
      </c>
      <c r="L129" s="2">
        <v>639.20000000000005</v>
      </c>
      <c r="M129" s="3">
        <v>0.2</v>
      </c>
      <c r="N129" s="2">
        <v>279.64999999999998</v>
      </c>
      <c r="O129" t="s">
        <v>54</v>
      </c>
      <c r="P129" t="s">
        <v>55</v>
      </c>
      <c r="Q129" t="s">
        <v>27</v>
      </c>
    </row>
    <row r="130" spans="1:17" x14ac:dyDescent="0.3">
      <c r="A130" t="s">
        <v>286</v>
      </c>
      <c r="B130" t="s">
        <v>225</v>
      </c>
      <c r="C130" t="s">
        <v>226</v>
      </c>
      <c r="D130" s="1">
        <v>45372</v>
      </c>
      <c r="E130" t="s">
        <v>160</v>
      </c>
      <c r="F130" t="s">
        <v>21</v>
      </c>
      <c r="G130" t="s">
        <v>22</v>
      </c>
      <c r="H130" t="s">
        <v>82</v>
      </c>
      <c r="I130" t="s">
        <v>83</v>
      </c>
      <c r="J130">
        <v>1</v>
      </c>
      <c r="K130" s="2">
        <v>1200</v>
      </c>
      <c r="L130" s="2">
        <v>1080</v>
      </c>
      <c r="M130" s="3">
        <v>0.1</v>
      </c>
      <c r="N130" s="2">
        <v>600</v>
      </c>
      <c r="O130" t="s">
        <v>40</v>
      </c>
      <c r="P130" t="s">
        <v>67</v>
      </c>
      <c r="Q130" t="s">
        <v>27</v>
      </c>
    </row>
    <row r="131" spans="1:17" x14ac:dyDescent="0.3">
      <c r="A131" t="s">
        <v>287</v>
      </c>
      <c r="B131" t="s">
        <v>225</v>
      </c>
      <c r="C131" t="s">
        <v>226</v>
      </c>
      <c r="D131" s="1">
        <v>45296</v>
      </c>
      <c r="E131" t="s">
        <v>118</v>
      </c>
      <c r="F131" t="s">
        <v>59</v>
      </c>
      <c r="G131" t="s">
        <v>183</v>
      </c>
      <c r="H131" t="s">
        <v>23</v>
      </c>
      <c r="I131" t="s">
        <v>39</v>
      </c>
      <c r="J131">
        <v>2</v>
      </c>
      <c r="K131" s="2">
        <v>2800</v>
      </c>
      <c r="L131" s="2">
        <v>4760</v>
      </c>
      <c r="M131" s="3">
        <v>0.15</v>
      </c>
      <c r="N131" s="2">
        <v>1064</v>
      </c>
      <c r="O131" t="s">
        <v>90</v>
      </c>
      <c r="P131" t="s">
        <v>26</v>
      </c>
      <c r="Q131" t="s">
        <v>27</v>
      </c>
    </row>
    <row r="132" spans="1:17" x14ac:dyDescent="0.3">
      <c r="A132" t="s">
        <v>288</v>
      </c>
      <c r="B132" t="s">
        <v>128</v>
      </c>
      <c r="C132" t="s">
        <v>129</v>
      </c>
      <c r="D132" s="1">
        <v>45497</v>
      </c>
      <c r="E132" t="s">
        <v>20</v>
      </c>
      <c r="F132" t="s">
        <v>21</v>
      </c>
      <c r="G132" t="s">
        <v>32</v>
      </c>
      <c r="H132" t="s">
        <v>33</v>
      </c>
      <c r="I132" t="s">
        <v>61</v>
      </c>
      <c r="J132">
        <v>4</v>
      </c>
      <c r="K132" s="2">
        <v>1800</v>
      </c>
      <c r="L132" s="2">
        <v>7200</v>
      </c>
      <c r="M132" s="3">
        <v>0</v>
      </c>
      <c r="N132" s="2">
        <v>3024</v>
      </c>
      <c r="O132" t="s">
        <v>54</v>
      </c>
      <c r="P132" t="s">
        <v>41</v>
      </c>
      <c r="Q132" t="s">
        <v>27</v>
      </c>
    </row>
    <row r="133" spans="1:17" x14ac:dyDescent="0.3">
      <c r="A133" t="s">
        <v>289</v>
      </c>
      <c r="B133" t="s">
        <v>64</v>
      </c>
      <c r="C133" t="s">
        <v>65</v>
      </c>
      <c r="D133" s="1">
        <v>45487</v>
      </c>
      <c r="E133" t="s">
        <v>20</v>
      </c>
      <c r="F133" t="s">
        <v>46</v>
      </c>
      <c r="G133" t="s">
        <v>105</v>
      </c>
      <c r="H133" t="s">
        <v>33</v>
      </c>
      <c r="I133" t="s">
        <v>61</v>
      </c>
      <c r="J133">
        <v>1</v>
      </c>
      <c r="K133" s="2">
        <v>1800</v>
      </c>
      <c r="L133" s="2">
        <v>1800</v>
      </c>
      <c r="M133" s="3">
        <v>0</v>
      </c>
      <c r="N133" s="2">
        <v>756</v>
      </c>
      <c r="O133" t="s">
        <v>54</v>
      </c>
      <c r="P133" t="s">
        <v>55</v>
      </c>
      <c r="Q133" t="s">
        <v>68</v>
      </c>
    </row>
    <row r="134" spans="1:17" x14ac:dyDescent="0.3">
      <c r="A134" t="s">
        <v>290</v>
      </c>
      <c r="B134" t="s">
        <v>215</v>
      </c>
      <c r="C134" t="s">
        <v>216</v>
      </c>
      <c r="D134" s="1">
        <v>45381</v>
      </c>
      <c r="E134" t="s">
        <v>160</v>
      </c>
      <c r="F134" t="s">
        <v>21</v>
      </c>
      <c r="G134" t="s">
        <v>53</v>
      </c>
      <c r="H134" t="s">
        <v>33</v>
      </c>
      <c r="I134" t="s">
        <v>34</v>
      </c>
      <c r="J134">
        <v>4</v>
      </c>
      <c r="K134" s="2">
        <v>3200</v>
      </c>
      <c r="L134" s="2">
        <v>11520</v>
      </c>
      <c r="M134" s="3">
        <v>0.1</v>
      </c>
      <c r="N134" s="2">
        <v>3200</v>
      </c>
      <c r="O134" t="s">
        <v>54</v>
      </c>
      <c r="P134" t="s">
        <v>55</v>
      </c>
      <c r="Q134" t="s">
        <v>27</v>
      </c>
    </row>
    <row r="135" spans="1:17" x14ac:dyDescent="0.3">
      <c r="A135" t="s">
        <v>291</v>
      </c>
      <c r="B135" t="s">
        <v>102</v>
      </c>
      <c r="C135" t="s">
        <v>103</v>
      </c>
      <c r="D135" s="1">
        <v>45319</v>
      </c>
      <c r="E135" t="s">
        <v>118</v>
      </c>
      <c r="F135" t="s">
        <v>46</v>
      </c>
      <c r="G135" t="s">
        <v>73</v>
      </c>
      <c r="H135" t="s">
        <v>33</v>
      </c>
      <c r="I135" t="s">
        <v>138</v>
      </c>
      <c r="J135">
        <v>4</v>
      </c>
      <c r="K135" s="2">
        <v>950</v>
      </c>
      <c r="L135" s="2">
        <v>3230</v>
      </c>
      <c r="M135" s="3">
        <v>0.15</v>
      </c>
      <c r="N135" s="2">
        <v>1254</v>
      </c>
      <c r="O135" t="s">
        <v>25</v>
      </c>
      <c r="P135" t="s">
        <v>35</v>
      </c>
      <c r="Q135" t="s">
        <v>27</v>
      </c>
    </row>
    <row r="136" spans="1:17" x14ac:dyDescent="0.3">
      <c r="A136" t="s">
        <v>292</v>
      </c>
      <c r="B136" t="s">
        <v>151</v>
      </c>
      <c r="C136" t="s">
        <v>152</v>
      </c>
      <c r="D136" s="1">
        <v>45634</v>
      </c>
      <c r="E136" t="s">
        <v>72</v>
      </c>
      <c r="F136" t="s">
        <v>21</v>
      </c>
      <c r="G136" t="s">
        <v>22</v>
      </c>
      <c r="H136" t="s">
        <v>33</v>
      </c>
      <c r="I136" t="s">
        <v>138</v>
      </c>
      <c r="J136">
        <v>5</v>
      </c>
      <c r="K136" s="2">
        <v>950</v>
      </c>
      <c r="L136" s="2">
        <v>4275</v>
      </c>
      <c r="M136" s="3">
        <v>0.1</v>
      </c>
      <c r="N136" s="2">
        <v>1805</v>
      </c>
      <c r="O136" t="s">
        <v>139</v>
      </c>
      <c r="P136" t="s">
        <v>35</v>
      </c>
      <c r="Q136" t="s">
        <v>68</v>
      </c>
    </row>
    <row r="137" spans="1:17" x14ac:dyDescent="0.3">
      <c r="A137" t="s">
        <v>293</v>
      </c>
      <c r="B137" t="s">
        <v>260</v>
      </c>
      <c r="C137" t="s">
        <v>261</v>
      </c>
      <c r="D137" s="1">
        <v>45629</v>
      </c>
      <c r="E137" t="s">
        <v>72</v>
      </c>
      <c r="F137" t="s">
        <v>59</v>
      </c>
      <c r="G137" t="s">
        <v>60</v>
      </c>
      <c r="H137" t="s">
        <v>23</v>
      </c>
      <c r="I137" t="s">
        <v>135</v>
      </c>
      <c r="J137">
        <v>3</v>
      </c>
      <c r="K137" s="2">
        <v>1900</v>
      </c>
      <c r="L137" s="2">
        <v>5130</v>
      </c>
      <c r="M137" s="3">
        <v>0.1</v>
      </c>
      <c r="N137" s="2">
        <v>1710</v>
      </c>
      <c r="O137" t="s">
        <v>139</v>
      </c>
      <c r="P137" t="s">
        <v>67</v>
      </c>
      <c r="Q137" t="s">
        <v>27</v>
      </c>
    </row>
    <row r="138" spans="1:17" x14ac:dyDescent="0.3">
      <c r="A138" t="s">
        <v>294</v>
      </c>
      <c r="B138" t="s">
        <v>115</v>
      </c>
      <c r="C138" t="s">
        <v>116</v>
      </c>
      <c r="D138" s="1">
        <v>45544</v>
      </c>
      <c r="E138" t="s">
        <v>66</v>
      </c>
      <c r="F138" t="s">
        <v>46</v>
      </c>
      <c r="G138" t="s">
        <v>47</v>
      </c>
      <c r="H138" t="s">
        <v>23</v>
      </c>
      <c r="I138" t="s">
        <v>135</v>
      </c>
      <c r="J138">
        <v>3</v>
      </c>
      <c r="K138" s="2">
        <v>1900</v>
      </c>
      <c r="L138" s="2">
        <v>5130</v>
      </c>
      <c r="M138" s="3">
        <v>0.1</v>
      </c>
      <c r="N138" s="2">
        <v>1710</v>
      </c>
      <c r="O138" t="s">
        <v>139</v>
      </c>
      <c r="P138" t="s">
        <v>26</v>
      </c>
      <c r="Q138" t="s">
        <v>27</v>
      </c>
    </row>
    <row r="139" spans="1:17" x14ac:dyDescent="0.3">
      <c r="A139" t="s">
        <v>295</v>
      </c>
      <c r="B139" t="s">
        <v>107</v>
      </c>
      <c r="C139" t="s">
        <v>108</v>
      </c>
      <c r="D139" s="1">
        <v>45497</v>
      </c>
      <c r="E139" t="s">
        <v>20</v>
      </c>
      <c r="F139" t="s">
        <v>21</v>
      </c>
      <c r="G139" t="s">
        <v>53</v>
      </c>
      <c r="H139" t="s">
        <v>48</v>
      </c>
      <c r="I139" t="s">
        <v>174</v>
      </c>
      <c r="J139">
        <v>4</v>
      </c>
      <c r="K139" s="2">
        <v>52000</v>
      </c>
      <c r="L139" s="2">
        <v>176800</v>
      </c>
      <c r="M139" s="3">
        <v>0.15</v>
      </c>
      <c r="N139" s="2">
        <v>6240</v>
      </c>
      <c r="O139" t="s">
        <v>40</v>
      </c>
      <c r="P139" t="s">
        <v>41</v>
      </c>
      <c r="Q139" t="s">
        <v>62</v>
      </c>
    </row>
    <row r="140" spans="1:17" x14ac:dyDescent="0.3">
      <c r="A140" t="s">
        <v>296</v>
      </c>
      <c r="B140" t="s">
        <v>163</v>
      </c>
      <c r="C140" t="s">
        <v>164</v>
      </c>
      <c r="D140" s="1">
        <v>45505</v>
      </c>
      <c r="E140" t="s">
        <v>104</v>
      </c>
      <c r="F140" t="s">
        <v>21</v>
      </c>
      <c r="G140" t="s">
        <v>22</v>
      </c>
      <c r="H140" t="s">
        <v>74</v>
      </c>
      <c r="I140" t="s">
        <v>75</v>
      </c>
      <c r="J140">
        <v>4</v>
      </c>
      <c r="K140" s="2">
        <v>1500</v>
      </c>
      <c r="L140" s="2">
        <v>5700</v>
      </c>
      <c r="M140" s="3">
        <v>0.05</v>
      </c>
      <c r="N140" s="2">
        <v>2700</v>
      </c>
      <c r="O140" t="s">
        <v>139</v>
      </c>
      <c r="P140" t="s">
        <v>41</v>
      </c>
      <c r="Q140" t="s">
        <v>27</v>
      </c>
    </row>
    <row r="141" spans="1:17" x14ac:dyDescent="0.3">
      <c r="A141" t="s">
        <v>297</v>
      </c>
      <c r="B141" t="s">
        <v>154</v>
      </c>
      <c r="C141" t="s">
        <v>155</v>
      </c>
      <c r="D141" s="1">
        <v>45471</v>
      </c>
      <c r="E141" t="s">
        <v>80</v>
      </c>
      <c r="F141" t="s">
        <v>46</v>
      </c>
      <c r="G141" t="s">
        <v>93</v>
      </c>
      <c r="H141" t="s">
        <v>82</v>
      </c>
      <c r="I141" t="s">
        <v>89</v>
      </c>
      <c r="J141">
        <v>1</v>
      </c>
      <c r="K141" s="2">
        <v>650</v>
      </c>
      <c r="L141" s="2">
        <v>650</v>
      </c>
      <c r="M141" s="3">
        <v>0</v>
      </c>
      <c r="N141" s="2">
        <v>377</v>
      </c>
      <c r="O141" t="s">
        <v>40</v>
      </c>
      <c r="P141" t="s">
        <v>41</v>
      </c>
      <c r="Q141" t="s">
        <v>27</v>
      </c>
    </row>
    <row r="142" spans="1:17" x14ac:dyDescent="0.3">
      <c r="A142" t="s">
        <v>298</v>
      </c>
      <c r="B142" t="s">
        <v>147</v>
      </c>
      <c r="C142" t="s">
        <v>148</v>
      </c>
      <c r="D142" s="1">
        <v>45364</v>
      </c>
      <c r="E142" t="s">
        <v>160</v>
      </c>
      <c r="F142" t="s">
        <v>87</v>
      </c>
      <c r="G142" t="s">
        <v>149</v>
      </c>
      <c r="H142" t="s">
        <v>48</v>
      </c>
      <c r="I142" t="s">
        <v>174</v>
      </c>
      <c r="J142">
        <v>4</v>
      </c>
      <c r="K142" s="2">
        <v>52000</v>
      </c>
      <c r="L142" s="2">
        <v>176800</v>
      </c>
      <c r="M142" s="3">
        <v>0.15</v>
      </c>
      <c r="N142" s="2">
        <v>6240</v>
      </c>
      <c r="O142" t="s">
        <v>40</v>
      </c>
      <c r="P142" t="s">
        <v>26</v>
      </c>
      <c r="Q142" t="s">
        <v>68</v>
      </c>
    </row>
    <row r="143" spans="1:17" x14ac:dyDescent="0.3">
      <c r="A143" t="s">
        <v>299</v>
      </c>
      <c r="B143" t="s">
        <v>37</v>
      </c>
      <c r="C143" t="s">
        <v>38</v>
      </c>
      <c r="D143" s="1">
        <v>45401</v>
      </c>
      <c r="E143" t="s">
        <v>97</v>
      </c>
      <c r="F143" t="s">
        <v>59</v>
      </c>
      <c r="G143" t="s">
        <v>183</v>
      </c>
      <c r="H143" t="s">
        <v>33</v>
      </c>
      <c r="I143" t="s">
        <v>61</v>
      </c>
      <c r="J143">
        <v>3</v>
      </c>
      <c r="K143" s="2">
        <v>1800</v>
      </c>
      <c r="L143" s="2">
        <v>4590</v>
      </c>
      <c r="M143" s="3">
        <v>0.15</v>
      </c>
      <c r="N143" s="2">
        <v>1458</v>
      </c>
      <c r="O143" t="s">
        <v>90</v>
      </c>
      <c r="P143" t="s">
        <v>41</v>
      </c>
      <c r="Q143" t="s">
        <v>91</v>
      </c>
    </row>
    <row r="144" spans="1:17" x14ac:dyDescent="0.3">
      <c r="A144" t="s">
        <v>300</v>
      </c>
      <c r="B144" t="s">
        <v>151</v>
      </c>
      <c r="C144" t="s">
        <v>152</v>
      </c>
      <c r="D144" s="1">
        <v>45396</v>
      </c>
      <c r="E144" t="s">
        <v>97</v>
      </c>
      <c r="F144" t="s">
        <v>46</v>
      </c>
      <c r="G144" t="s">
        <v>93</v>
      </c>
      <c r="H144" t="s">
        <v>23</v>
      </c>
      <c r="I144" t="s">
        <v>24</v>
      </c>
      <c r="J144">
        <v>4</v>
      </c>
      <c r="K144" s="2">
        <v>1100</v>
      </c>
      <c r="L144" s="2">
        <v>3960</v>
      </c>
      <c r="M144" s="3">
        <v>0.1</v>
      </c>
      <c r="N144" s="2">
        <v>1760</v>
      </c>
      <c r="O144" t="s">
        <v>25</v>
      </c>
      <c r="P144" t="s">
        <v>67</v>
      </c>
      <c r="Q144" t="s">
        <v>27</v>
      </c>
    </row>
    <row r="145" spans="1:17" x14ac:dyDescent="0.3">
      <c r="A145" t="s">
        <v>301</v>
      </c>
      <c r="B145" t="s">
        <v>208</v>
      </c>
      <c r="C145" t="s">
        <v>209</v>
      </c>
      <c r="D145" s="1">
        <v>45608</v>
      </c>
      <c r="E145" t="s">
        <v>45</v>
      </c>
      <c r="F145" t="s">
        <v>87</v>
      </c>
      <c r="G145" t="s">
        <v>137</v>
      </c>
      <c r="H145" t="s">
        <v>23</v>
      </c>
      <c r="I145" t="s">
        <v>135</v>
      </c>
      <c r="J145">
        <v>4</v>
      </c>
      <c r="K145" s="2">
        <v>1900</v>
      </c>
      <c r="L145" s="2">
        <v>6840</v>
      </c>
      <c r="M145" s="3">
        <v>0.1</v>
      </c>
      <c r="N145" s="2">
        <v>2280</v>
      </c>
      <c r="O145" t="s">
        <v>76</v>
      </c>
      <c r="P145" t="s">
        <v>41</v>
      </c>
      <c r="Q145" t="s">
        <v>27</v>
      </c>
    </row>
    <row r="146" spans="1:17" x14ac:dyDescent="0.3">
      <c r="A146" t="s">
        <v>302</v>
      </c>
      <c r="B146" t="s">
        <v>215</v>
      </c>
      <c r="C146" t="s">
        <v>216</v>
      </c>
      <c r="D146" s="1">
        <v>45555</v>
      </c>
      <c r="E146" t="s">
        <v>66</v>
      </c>
      <c r="F146" t="s">
        <v>87</v>
      </c>
      <c r="G146" t="s">
        <v>88</v>
      </c>
      <c r="H146" t="s">
        <v>82</v>
      </c>
      <c r="I146" t="s">
        <v>98</v>
      </c>
      <c r="J146">
        <v>4</v>
      </c>
      <c r="K146" s="2">
        <v>2400</v>
      </c>
      <c r="L146" s="2">
        <v>8160</v>
      </c>
      <c r="M146" s="3">
        <v>0.15</v>
      </c>
      <c r="N146" s="2">
        <v>3552</v>
      </c>
      <c r="O146" t="s">
        <v>139</v>
      </c>
      <c r="P146" t="s">
        <v>55</v>
      </c>
      <c r="Q146" t="s">
        <v>68</v>
      </c>
    </row>
    <row r="147" spans="1:17" x14ac:dyDescent="0.3">
      <c r="A147" t="s">
        <v>303</v>
      </c>
      <c r="B147" t="s">
        <v>260</v>
      </c>
      <c r="C147" t="s">
        <v>261</v>
      </c>
      <c r="D147" s="1">
        <v>45512</v>
      </c>
      <c r="E147" t="s">
        <v>104</v>
      </c>
      <c r="F147" t="s">
        <v>87</v>
      </c>
      <c r="G147" t="s">
        <v>88</v>
      </c>
      <c r="H147" t="s">
        <v>23</v>
      </c>
      <c r="I147" t="s">
        <v>24</v>
      </c>
      <c r="J147">
        <v>4</v>
      </c>
      <c r="K147" s="2">
        <v>1100</v>
      </c>
      <c r="L147" s="2">
        <v>3520</v>
      </c>
      <c r="M147" s="3">
        <v>0.2</v>
      </c>
      <c r="N147" s="2">
        <v>1320</v>
      </c>
      <c r="O147" t="s">
        <v>54</v>
      </c>
      <c r="P147" t="s">
        <v>41</v>
      </c>
      <c r="Q147" t="s">
        <v>27</v>
      </c>
    </row>
    <row r="148" spans="1:17" x14ac:dyDescent="0.3">
      <c r="A148" t="s">
        <v>304</v>
      </c>
      <c r="B148" t="s">
        <v>57</v>
      </c>
      <c r="C148" t="s">
        <v>58</v>
      </c>
      <c r="D148" s="1">
        <v>45532</v>
      </c>
      <c r="E148" t="s">
        <v>104</v>
      </c>
      <c r="F148" t="s">
        <v>59</v>
      </c>
      <c r="G148" t="s">
        <v>60</v>
      </c>
      <c r="H148" t="s">
        <v>33</v>
      </c>
      <c r="I148" t="s">
        <v>61</v>
      </c>
      <c r="J148">
        <v>5</v>
      </c>
      <c r="K148" s="2">
        <v>1800</v>
      </c>
      <c r="L148" s="2">
        <v>9000</v>
      </c>
      <c r="M148" s="3">
        <v>0</v>
      </c>
      <c r="N148" s="2">
        <v>3780</v>
      </c>
      <c r="O148" t="s">
        <v>76</v>
      </c>
      <c r="P148" t="s">
        <v>35</v>
      </c>
      <c r="Q148" t="s">
        <v>27</v>
      </c>
    </row>
    <row r="149" spans="1:17" x14ac:dyDescent="0.3">
      <c r="A149" t="s">
        <v>305</v>
      </c>
      <c r="B149" t="s">
        <v>151</v>
      </c>
      <c r="C149" t="s">
        <v>152</v>
      </c>
      <c r="D149" s="1">
        <v>45491</v>
      </c>
      <c r="E149" t="s">
        <v>20</v>
      </c>
      <c r="F149" t="s">
        <v>87</v>
      </c>
      <c r="G149" t="s">
        <v>109</v>
      </c>
      <c r="H149" t="s">
        <v>23</v>
      </c>
      <c r="I149" t="s">
        <v>39</v>
      </c>
      <c r="J149">
        <v>2</v>
      </c>
      <c r="K149" s="2">
        <v>2800</v>
      </c>
      <c r="L149" s="2">
        <v>4480</v>
      </c>
      <c r="M149" s="3">
        <v>0.2</v>
      </c>
      <c r="N149" s="2">
        <v>784</v>
      </c>
      <c r="O149" t="s">
        <v>54</v>
      </c>
      <c r="P149" t="s">
        <v>35</v>
      </c>
      <c r="Q149" t="s">
        <v>27</v>
      </c>
    </row>
    <row r="150" spans="1:17" x14ac:dyDescent="0.3">
      <c r="A150" t="s">
        <v>306</v>
      </c>
      <c r="B150" t="s">
        <v>151</v>
      </c>
      <c r="C150" t="s">
        <v>152</v>
      </c>
      <c r="D150" s="1">
        <v>45636</v>
      </c>
      <c r="E150" t="s">
        <v>72</v>
      </c>
      <c r="F150" t="s">
        <v>59</v>
      </c>
      <c r="G150" t="s">
        <v>60</v>
      </c>
      <c r="H150" t="s">
        <v>82</v>
      </c>
      <c r="I150" t="s">
        <v>89</v>
      </c>
      <c r="J150">
        <v>4</v>
      </c>
      <c r="K150" s="2">
        <v>650</v>
      </c>
      <c r="L150" s="2">
        <v>2080</v>
      </c>
      <c r="M150" s="3">
        <v>0.2</v>
      </c>
      <c r="N150" s="2">
        <v>988</v>
      </c>
      <c r="O150" t="s">
        <v>54</v>
      </c>
      <c r="P150" t="s">
        <v>26</v>
      </c>
      <c r="Q150" t="s">
        <v>91</v>
      </c>
    </row>
    <row r="151" spans="1:17" x14ac:dyDescent="0.3">
      <c r="A151" t="s">
        <v>307</v>
      </c>
      <c r="B151" t="s">
        <v>29</v>
      </c>
      <c r="C151" t="s">
        <v>30</v>
      </c>
      <c r="D151" s="1">
        <v>45549</v>
      </c>
      <c r="E151" t="s">
        <v>66</v>
      </c>
      <c r="F151" t="s">
        <v>59</v>
      </c>
      <c r="G151" t="s">
        <v>183</v>
      </c>
      <c r="H151" t="s">
        <v>74</v>
      </c>
      <c r="I151" t="s">
        <v>145</v>
      </c>
      <c r="J151">
        <v>5</v>
      </c>
      <c r="K151" s="2">
        <v>799</v>
      </c>
      <c r="L151" s="2">
        <v>3196</v>
      </c>
      <c r="M151" s="3">
        <v>0.2</v>
      </c>
      <c r="N151" s="2">
        <v>1398.25</v>
      </c>
      <c r="O151" t="s">
        <v>40</v>
      </c>
      <c r="P151" t="s">
        <v>35</v>
      </c>
      <c r="Q151"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67BF-4F88-4DAC-BE17-F2A1E938472E}">
  <dimension ref="A1:P158"/>
  <sheetViews>
    <sheetView workbookViewId="0"/>
  </sheetViews>
  <sheetFormatPr defaultRowHeight="14.4" x14ac:dyDescent="0.3"/>
  <cols>
    <col min="1" max="1" width="9.88671875" customWidth="1"/>
    <col min="2" max="2" width="13.21875" customWidth="1"/>
    <col min="3" max="3" width="16.44140625" customWidth="1"/>
    <col min="4" max="4" width="12" customWidth="1"/>
    <col min="7" max="7" width="17.5546875" customWidth="1"/>
    <col min="8" max="8" width="15" customWidth="1"/>
    <col min="9" max="9" width="14.33203125" customWidth="1"/>
    <col min="10" max="10" width="11" customWidth="1"/>
    <col min="11" max="11" width="14.44140625" customWidth="1"/>
    <col min="12" max="12" width="12.109375" customWidth="1"/>
    <col min="13" max="13" width="14.88671875" customWidth="1"/>
    <col min="14" max="14" width="20.109375" customWidth="1"/>
    <col min="15" max="15" width="17.6640625" customWidth="1"/>
    <col min="16" max="16" width="15.33203125" customWidth="1"/>
  </cols>
  <sheetData>
    <row r="1" spans="1:16" x14ac:dyDescent="0.3">
      <c r="A1" t="s">
        <v>0</v>
      </c>
      <c r="B1" t="s">
        <v>1</v>
      </c>
      <c r="C1" t="s">
        <v>2</v>
      </c>
      <c r="D1" t="s">
        <v>3</v>
      </c>
      <c r="E1" t="s">
        <v>5</v>
      </c>
      <c r="F1" t="s">
        <v>6</v>
      </c>
      <c r="G1" t="s">
        <v>7</v>
      </c>
      <c r="H1" t="s">
        <v>8</v>
      </c>
      <c r="I1" t="s">
        <v>9</v>
      </c>
      <c r="J1" t="s">
        <v>10</v>
      </c>
      <c r="K1" t="s">
        <v>11</v>
      </c>
      <c r="L1" t="s">
        <v>12</v>
      </c>
      <c r="M1" t="s">
        <v>13</v>
      </c>
      <c r="N1" t="s">
        <v>14</v>
      </c>
      <c r="O1" t="s">
        <v>15</v>
      </c>
      <c r="P1" t="s">
        <v>16</v>
      </c>
    </row>
    <row r="2" spans="1:16" x14ac:dyDescent="0.3">
      <c r="A2" t="s">
        <v>17</v>
      </c>
      <c r="B2" t="s">
        <v>18</v>
      </c>
      <c r="C2" t="s">
        <v>19</v>
      </c>
      <c r="D2" s="4">
        <v>45504</v>
      </c>
      <c r="E2" t="s">
        <v>21</v>
      </c>
      <c r="F2" t="s">
        <v>22</v>
      </c>
      <c r="G2" t="s">
        <v>23</v>
      </c>
      <c r="H2" t="s">
        <v>24</v>
      </c>
      <c r="I2">
        <v>1</v>
      </c>
      <c r="J2">
        <v>1100</v>
      </c>
      <c r="K2">
        <v>1045</v>
      </c>
      <c r="L2">
        <v>0.05</v>
      </c>
      <c r="M2">
        <v>495</v>
      </c>
      <c r="N2" t="s">
        <v>25</v>
      </c>
      <c r="O2" t="s">
        <v>26</v>
      </c>
      <c r="P2" t="s">
        <v>27</v>
      </c>
    </row>
    <row r="3" spans="1:16" x14ac:dyDescent="0.3">
      <c r="A3" t="s">
        <v>28</v>
      </c>
      <c r="B3" t="s">
        <v>29</v>
      </c>
      <c r="C3" t="s">
        <v>30</v>
      </c>
      <c r="D3" s="4">
        <v>45636</v>
      </c>
      <c r="E3" t="s">
        <v>21</v>
      </c>
      <c r="F3" t="s">
        <v>32</v>
      </c>
      <c r="G3" t="s">
        <v>308</v>
      </c>
      <c r="H3" t="s">
        <v>34</v>
      </c>
      <c r="I3">
        <v>1</v>
      </c>
      <c r="J3">
        <v>3200</v>
      </c>
      <c r="K3">
        <v>3200</v>
      </c>
      <c r="L3">
        <v>0</v>
      </c>
      <c r="M3">
        <v>1120</v>
      </c>
      <c r="N3" t="s">
        <v>25</v>
      </c>
      <c r="O3" t="s">
        <v>35</v>
      </c>
      <c r="P3" t="s">
        <v>27</v>
      </c>
    </row>
    <row r="4" spans="1:16" x14ac:dyDescent="0.3">
      <c r="A4" t="s">
        <v>36</v>
      </c>
      <c r="B4" t="s">
        <v>37</v>
      </c>
      <c r="C4" t="s">
        <v>38</v>
      </c>
      <c r="D4" s="4">
        <v>45484</v>
      </c>
      <c r="E4" t="s">
        <v>21</v>
      </c>
      <c r="F4" t="s">
        <v>22</v>
      </c>
      <c r="G4" t="s">
        <v>309</v>
      </c>
      <c r="H4" t="s">
        <v>39</v>
      </c>
      <c r="I4">
        <v>5</v>
      </c>
      <c r="J4">
        <v>2800</v>
      </c>
      <c r="K4">
        <v>14000</v>
      </c>
      <c r="L4">
        <v>0</v>
      </c>
      <c r="M4">
        <v>4760</v>
      </c>
      <c r="N4" t="s">
        <v>40</v>
      </c>
      <c r="O4" t="s">
        <v>41</v>
      </c>
      <c r="P4" t="s">
        <v>27</v>
      </c>
    </row>
    <row r="5" spans="1:16" x14ac:dyDescent="0.3">
      <c r="A5" t="s">
        <v>42</v>
      </c>
      <c r="B5" t="s">
        <v>43</v>
      </c>
      <c r="C5" t="s">
        <v>44</v>
      </c>
      <c r="D5" s="5">
        <v>45610</v>
      </c>
      <c r="E5" t="s">
        <v>46</v>
      </c>
      <c r="F5" t="s">
        <v>47</v>
      </c>
      <c r="G5" t="s">
        <v>310</v>
      </c>
      <c r="H5" t="s">
        <v>49</v>
      </c>
      <c r="I5">
        <v>3</v>
      </c>
      <c r="J5">
        <v>18000</v>
      </c>
      <c r="K5">
        <v>54000</v>
      </c>
      <c r="L5">
        <v>0</v>
      </c>
      <c r="M5">
        <v>11880</v>
      </c>
      <c r="O5" t="s">
        <v>41</v>
      </c>
      <c r="P5" t="s">
        <v>27</v>
      </c>
    </row>
    <row r="6" spans="1:16" x14ac:dyDescent="0.3">
      <c r="A6" t="s">
        <v>50</v>
      </c>
      <c r="B6" t="s">
        <v>51</v>
      </c>
      <c r="C6" t="s">
        <v>52</v>
      </c>
      <c r="D6" s="4">
        <v>45569</v>
      </c>
      <c r="E6" t="s">
        <v>21</v>
      </c>
      <c r="F6" t="s">
        <v>53</v>
      </c>
      <c r="G6" t="s">
        <v>33</v>
      </c>
      <c r="H6" t="s">
        <v>34</v>
      </c>
      <c r="I6">
        <v>2</v>
      </c>
      <c r="J6">
        <v>3200</v>
      </c>
      <c r="K6">
        <v>5760</v>
      </c>
      <c r="L6">
        <v>0.1</v>
      </c>
      <c r="M6">
        <v>1600</v>
      </c>
      <c r="N6" t="s">
        <v>54</v>
      </c>
      <c r="O6" t="s">
        <v>55</v>
      </c>
      <c r="P6" t="s">
        <v>27</v>
      </c>
    </row>
    <row r="7" spans="1:16" x14ac:dyDescent="0.3">
      <c r="A7" t="s">
        <v>56</v>
      </c>
      <c r="B7" t="s">
        <v>57</v>
      </c>
      <c r="C7" t="s">
        <v>58</v>
      </c>
      <c r="D7" t="s">
        <v>311</v>
      </c>
      <c r="E7" t="s">
        <v>59</v>
      </c>
      <c r="F7" t="s">
        <v>60</v>
      </c>
      <c r="G7" t="s">
        <v>33</v>
      </c>
      <c r="H7" t="s">
        <v>61</v>
      </c>
      <c r="I7">
        <v>4</v>
      </c>
      <c r="J7">
        <v>1800</v>
      </c>
      <c r="K7">
        <v>6480</v>
      </c>
      <c r="L7">
        <v>0.1</v>
      </c>
      <c r="M7">
        <v>2304</v>
      </c>
      <c r="N7" t="s">
        <v>40</v>
      </c>
      <c r="O7" t="s">
        <v>35</v>
      </c>
      <c r="P7" t="s">
        <v>62</v>
      </c>
    </row>
    <row r="8" spans="1:16" x14ac:dyDescent="0.3">
      <c r="A8" t="s">
        <v>63</v>
      </c>
      <c r="B8" t="s">
        <v>64</v>
      </c>
      <c r="C8" t="s">
        <v>65</v>
      </c>
      <c r="D8" s="4">
        <v>45542</v>
      </c>
      <c r="E8" t="s">
        <v>46</v>
      </c>
      <c r="F8" t="s">
        <v>47</v>
      </c>
      <c r="G8" t="s">
        <v>33</v>
      </c>
      <c r="H8" t="s">
        <v>34</v>
      </c>
      <c r="I8">
        <v>3</v>
      </c>
      <c r="J8">
        <v>3200</v>
      </c>
      <c r="K8">
        <v>8160</v>
      </c>
      <c r="L8">
        <v>0.15</v>
      </c>
      <c r="M8">
        <v>1920</v>
      </c>
      <c r="O8" t="s">
        <v>67</v>
      </c>
      <c r="P8" t="s">
        <v>68</v>
      </c>
    </row>
    <row r="9" spans="1:16" x14ac:dyDescent="0.3">
      <c r="A9" t="s">
        <v>69</v>
      </c>
      <c r="B9" t="s">
        <v>70</v>
      </c>
      <c r="C9" t="s">
        <v>71</v>
      </c>
      <c r="D9" s="5">
        <v>45652</v>
      </c>
      <c r="E9" t="s">
        <v>46</v>
      </c>
      <c r="F9" t="s">
        <v>73</v>
      </c>
      <c r="G9" t="s">
        <v>312</v>
      </c>
      <c r="H9" t="s">
        <v>75</v>
      </c>
      <c r="I9">
        <v>4</v>
      </c>
      <c r="J9">
        <v>1500</v>
      </c>
      <c r="K9">
        <v>5400</v>
      </c>
      <c r="L9">
        <v>0.1</v>
      </c>
      <c r="M9">
        <v>2400</v>
      </c>
      <c r="N9" t="s">
        <v>76</v>
      </c>
      <c r="O9" t="s">
        <v>67</v>
      </c>
      <c r="P9" t="s">
        <v>27</v>
      </c>
    </row>
    <row r="10" spans="1:16" x14ac:dyDescent="0.3">
      <c r="A10" t="s">
        <v>77</v>
      </c>
      <c r="B10" t="s">
        <v>78</v>
      </c>
      <c r="C10" t="s">
        <v>79</v>
      </c>
      <c r="D10" s="4">
        <v>45445</v>
      </c>
      <c r="E10" t="s">
        <v>21</v>
      </c>
      <c r="F10" t="s">
        <v>81</v>
      </c>
      <c r="G10" t="s">
        <v>82</v>
      </c>
      <c r="H10" t="s">
        <v>83</v>
      </c>
      <c r="I10">
        <v>1</v>
      </c>
      <c r="J10">
        <v>1200</v>
      </c>
      <c r="K10">
        <v>1140</v>
      </c>
      <c r="L10">
        <v>0.05</v>
      </c>
      <c r="M10">
        <v>660</v>
      </c>
      <c r="N10" t="s">
        <v>40</v>
      </c>
      <c r="O10" t="s">
        <v>41</v>
      </c>
      <c r="P10" t="s">
        <v>27</v>
      </c>
    </row>
    <row r="11" spans="1:16" x14ac:dyDescent="0.3">
      <c r="A11" t="s">
        <v>84</v>
      </c>
      <c r="B11" t="s">
        <v>85</v>
      </c>
      <c r="C11" t="s">
        <v>86</v>
      </c>
      <c r="D11" t="s">
        <v>313</v>
      </c>
      <c r="E11" t="s">
        <v>87</v>
      </c>
      <c r="F11" t="s">
        <v>88</v>
      </c>
      <c r="G11" t="s">
        <v>314</v>
      </c>
      <c r="H11" t="s">
        <v>89</v>
      </c>
      <c r="I11">
        <v>2</v>
      </c>
      <c r="J11">
        <v>650</v>
      </c>
      <c r="K11">
        <v>1300</v>
      </c>
      <c r="L11">
        <v>0</v>
      </c>
      <c r="M11">
        <v>754</v>
      </c>
      <c r="N11" t="s">
        <v>90</v>
      </c>
      <c r="O11" t="s">
        <v>67</v>
      </c>
      <c r="P11" t="s">
        <v>91</v>
      </c>
    </row>
    <row r="12" spans="1:16" x14ac:dyDescent="0.3">
      <c r="A12" t="s">
        <v>92</v>
      </c>
      <c r="B12" t="s">
        <v>18</v>
      </c>
      <c r="C12" t="s">
        <v>19</v>
      </c>
      <c r="D12" s="4">
        <v>45600</v>
      </c>
      <c r="E12" t="s">
        <v>46</v>
      </c>
      <c r="F12" t="s">
        <v>93</v>
      </c>
      <c r="G12" t="s">
        <v>23</v>
      </c>
      <c r="H12" t="s">
        <v>24</v>
      </c>
      <c r="I12">
        <v>4</v>
      </c>
      <c r="J12">
        <v>1100</v>
      </c>
      <c r="K12">
        <v>3740</v>
      </c>
      <c r="L12">
        <v>0.15</v>
      </c>
      <c r="N12" t="s">
        <v>40</v>
      </c>
      <c r="O12" t="s">
        <v>26</v>
      </c>
      <c r="P12" t="s">
        <v>27</v>
      </c>
    </row>
    <row r="13" spans="1:16" x14ac:dyDescent="0.3">
      <c r="A13" t="s">
        <v>94</v>
      </c>
      <c r="B13" t="s">
        <v>95</v>
      </c>
      <c r="C13" t="s">
        <v>96</v>
      </c>
      <c r="D13" s="5">
        <v>45391</v>
      </c>
      <c r="E13" t="s">
        <v>46</v>
      </c>
      <c r="F13" t="s">
        <v>93</v>
      </c>
      <c r="G13" t="s">
        <v>82</v>
      </c>
      <c r="H13" t="s">
        <v>98</v>
      </c>
      <c r="I13">
        <v>2</v>
      </c>
      <c r="J13">
        <v>2400</v>
      </c>
      <c r="K13">
        <v>4320</v>
      </c>
      <c r="L13">
        <v>0.1</v>
      </c>
      <c r="N13" t="s">
        <v>90</v>
      </c>
      <c r="O13" t="s">
        <v>67</v>
      </c>
      <c r="P13" t="s">
        <v>27</v>
      </c>
    </row>
    <row r="14" spans="1:16" x14ac:dyDescent="0.3">
      <c r="A14" t="s">
        <v>99</v>
      </c>
      <c r="B14" t="s">
        <v>57</v>
      </c>
      <c r="C14" t="s">
        <v>58</v>
      </c>
      <c r="D14" s="4">
        <v>45607</v>
      </c>
      <c r="E14" t="s">
        <v>46</v>
      </c>
      <c r="F14" t="s">
        <v>47</v>
      </c>
      <c r="G14" t="s">
        <v>310</v>
      </c>
      <c r="H14" t="s">
        <v>100</v>
      </c>
      <c r="I14">
        <v>5</v>
      </c>
      <c r="J14">
        <v>2500</v>
      </c>
      <c r="K14">
        <v>11250</v>
      </c>
      <c r="L14">
        <v>0.1</v>
      </c>
      <c r="N14" t="s">
        <v>76</v>
      </c>
      <c r="O14" t="s">
        <v>67</v>
      </c>
      <c r="P14" t="s">
        <v>27</v>
      </c>
    </row>
    <row r="15" spans="1:16" x14ac:dyDescent="0.3">
      <c r="A15" t="s">
        <v>101</v>
      </c>
      <c r="B15" t="s">
        <v>102</v>
      </c>
      <c r="C15" t="s">
        <v>103</v>
      </c>
      <c r="D15" t="s">
        <v>315</v>
      </c>
      <c r="E15" t="s">
        <v>46</v>
      </c>
      <c r="F15" t="s">
        <v>105</v>
      </c>
      <c r="G15" t="s">
        <v>33</v>
      </c>
      <c r="H15" t="s">
        <v>34</v>
      </c>
      <c r="I15">
        <v>1</v>
      </c>
      <c r="J15">
        <v>3200</v>
      </c>
      <c r="K15">
        <v>2880</v>
      </c>
      <c r="L15">
        <v>0.1</v>
      </c>
      <c r="M15">
        <v>800</v>
      </c>
      <c r="N15" t="s">
        <v>90</v>
      </c>
      <c r="O15" t="s">
        <v>67</v>
      </c>
    </row>
    <row r="16" spans="1:16" x14ac:dyDescent="0.3">
      <c r="A16" t="s">
        <v>106</v>
      </c>
      <c r="B16" t="s">
        <v>107</v>
      </c>
      <c r="C16" t="s">
        <v>108</v>
      </c>
      <c r="D16" s="4">
        <v>45391</v>
      </c>
      <c r="E16" t="s">
        <v>87</v>
      </c>
      <c r="F16" t="s">
        <v>109</v>
      </c>
      <c r="G16" t="s">
        <v>82</v>
      </c>
      <c r="H16" t="s">
        <v>89</v>
      </c>
      <c r="I16">
        <v>4</v>
      </c>
      <c r="J16">
        <v>650</v>
      </c>
      <c r="K16">
        <v>2210</v>
      </c>
      <c r="L16">
        <v>0.15</v>
      </c>
      <c r="M16">
        <v>1118</v>
      </c>
      <c r="N16" t="s">
        <v>54</v>
      </c>
      <c r="O16" t="s">
        <v>67</v>
      </c>
      <c r="P16" t="s">
        <v>27</v>
      </c>
    </row>
    <row r="17" spans="1:16" x14ac:dyDescent="0.3">
      <c r="A17" t="s">
        <v>110</v>
      </c>
      <c r="B17" t="s">
        <v>111</v>
      </c>
      <c r="C17" t="s">
        <v>112</v>
      </c>
      <c r="D17" s="5">
        <v>45433</v>
      </c>
      <c r="E17" t="s">
        <v>21</v>
      </c>
      <c r="F17" t="s">
        <v>53</v>
      </c>
      <c r="G17" t="s">
        <v>23</v>
      </c>
      <c r="H17" t="s">
        <v>24</v>
      </c>
      <c r="I17">
        <v>3</v>
      </c>
      <c r="J17">
        <v>1100</v>
      </c>
      <c r="K17">
        <v>2805</v>
      </c>
      <c r="L17">
        <v>0.15</v>
      </c>
      <c r="M17">
        <v>1155</v>
      </c>
      <c r="N17" t="s">
        <v>40</v>
      </c>
      <c r="O17" t="s">
        <v>67</v>
      </c>
      <c r="P17" t="s">
        <v>91</v>
      </c>
    </row>
    <row r="18" spans="1:16" x14ac:dyDescent="0.3">
      <c r="A18" t="s">
        <v>114</v>
      </c>
      <c r="B18" t="s">
        <v>115</v>
      </c>
      <c r="C18" t="s">
        <v>116</v>
      </c>
      <c r="D18" s="4">
        <v>45524</v>
      </c>
      <c r="E18" t="s">
        <v>46</v>
      </c>
      <c r="F18" t="s">
        <v>73</v>
      </c>
      <c r="G18" t="s">
        <v>74</v>
      </c>
      <c r="H18" t="s">
        <v>75</v>
      </c>
      <c r="I18">
        <v>5</v>
      </c>
      <c r="J18">
        <v>1500</v>
      </c>
      <c r="K18">
        <v>6750</v>
      </c>
      <c r="L18">
        <v>0.1</v>
      </c>
      <c r="M18">
        <v>3000</v>
      </c>
      <c r="N18" t="s">
        <v>25</v>
      </c>
      <c r="O18" t="s">
        <v>67</v>
      </c>
      <c r="P18" t="s">
        <v>68</v>
      </c>
    </row>
    <row r="19" spans="1:16" x14ac:dyDescent="0.3">
      <c r="A19" t="s">
        <v>117</v>
      </c>
      <c r="B19" t="s">
        <v>70</v>
      </c>
      <c r="C19" t="s">
        <v>71</v>
      </c>
      <c r="D19" s="4">
        <v>45413</v>
      </c>
      <c r="E19" t="s">
        <v>21</v>
      </c>
      <c r="F19" t="s">
        <v>22</v>
      </c>
      <c r="G19" t="s">
        <v>33</v>
      </c>
      <c r="H19" t="s">
        <v>61</v>
      </c>
      <c r="I19">
        <v>1</v>
      </c>
      <c r="J19">
        <v>1800</v>
      </c>
      <c r="K19">
        <v>1620</v>
      </c>
      <c r="L19">
        <v>0.1</v>
      </c>
      <c r="M19">
        <v>576</v>
      </c>
      <c r="N19" t="s">
        <v>40</v>
      </c>
      <c r="O19" t="s">
        <v>26</v>
      </c>
      <c r="P19" t="s">
        <v>27</v>
      </c>
    </row>
    <row r="20" spans="1:16" x14ac:dyDescent="0.3">
      <c r="A20" t="s">
        <v>119</v>
      </c>
      <c r="B20" t="s">
        <v>85</v>
      </c>
      <c r="C20" t="s">
        <v>86</v>
      </c>
      <c r="D20" s="4">
        <v>45573</v>
      </c>
      <c r="E20" t="s">
        <v>46</v>
      </c>
      <c r="F20" t="s">
        <v>105</v>
      </c>
      <c r="G20" t="s">
        <v>23</v>
      </c>
      <c r="H20" t="s">
        <v>39</v>
      </c>
      <c r="I20">
        <v>5</v>
      </c>
      <c r="J20">
        <v>2800</v>
      </c>
      <c r="K20">
        <v>14000</v>
      </c>
      <c r="L20">
        <v>0</v>
      </c>
      <c r="M20">
        <v>4760</v>
      </c>
      <c r="N20" t="s">
        <v>54</v>
      </c>
      <c r="O20" t="s">
        <v>67</v>
      </c>
      <c r="P20" t="s">
        <v>27</v>
      </c>
    </row>
    <row r="21" spans="1:16" x14ac:dyDescent="0.3">
      <c r="A21" t="s">
        <v>120</v>
      </c>
      <c r="B21" t="s">
        <v>121</v>
      </c>
      <c r="C21" t="s">
        <v>122</v>
      </c>
      <c r="D21" s="5">
        <v>45509</v>
      </c>
      <c r="E21" t="s">
        <v>59</v>
      </c>
      <c r="F21" t="s">
        <v>60</v>
      </c>
      <c r="G21" t="s">
        <v>23</v>
      </c>
      <c r="H21" t="s">
        <v>39</v>
      </c>
      <c r="I21">
        <v>5</v>
      </c>
      <c r="J21">
        <v>2800</v>
      </c>
      <c r="K21">
        <v>11200</v>
      </c>
      <c r="L21">
        <v>0.2</v>
      </c>
      <c r="M21">
        <v>1960</v>
      </c>
      <c r="N21" t="s">
        <v>90</v>
      </c>
      <c r="O21" t="s">
        <v>55</v>
      </c>
      <c r="P21" t="s">
        <v>62</v>
      </c>
    </row>
    <row r="22" spans="1:16" x14ac:dyDescent="0.3">
      <c r="A22" t="s">
        <v>123</v>
      </c>
      <c r="B22" t="s">
        <v>95</v>
      </c>
      <c r="C22" t="s">
        <v>96</v>
      </c>
      <c r="D22" s="4">
        <v>45549</v>
      </c>
      <c r="E22" t="s">
        <v>46</v>
      </c>
      <c r="F22" t="s">
        <v>47</v>
      </c>
      <c r="G22" t="s">
        <v>314</v>
      </c>
      <c r="H22" t="s">
        <v>98</v>
      </c>
      <c r="I22">
        <v>5</v>
      </c>
      <c r="J22">
        <v>2400</v>
      </c>
      <c r="K22">
        <v>10200</v>
      </c>
      <c r="L22">
        <v>0.15</v>
      </c>
      <c r="M22">
        <v>4440</v>
      </c>
      <c r="N22" t="s">
        <v>40</v>
      </c>
      <c r="O22" t="s">
        <v>67</v>
      </c>
      <c r="P22" t="s">
        <v>27</v>
      </c>
    </row>
    <row r="23" spans="1:16" x14ac:dyDescent="0.3">
      <c r="A23" t="s">
        <v>124</v>
      </c>
      <c r="B23" t="s">
        <v>125</v>
      </c>
      <c r="C23" t="s">
        <v>126</v>
      </c>
      <c r="D23" t="s">
        <v>316</v>
      </c>
      <c r="E23" t="s">
        <v>46</v>
      </c>
      <c r="F23" t="s">
        <v>105</v>
      </c>
      <c r="G23" t="s">
        <v>23</v>
      </c>
      <c r="H23" t="s">
        <v>24</v>
      </c>
      <c r="I23">
        <v>3</v>
      </c>
      <c r="J23">
        <v>1100</v>
      </c>
      <c r="K23">
        <v>2970</v>
      </c>
      <c r="L23">
        <v>0.1</v>
      </c>
      <c r="M23">
        <v>1320</v>
      </c>
      <c r="N23" t="s">
        <v>54</v>
      </c>
      <c r="O23" t="s">
        <v>35</v>
      </c>
      <c r="P23" t="s">
        <v>27</v>
      </c>
    </row>
    <row r="24" spans="1:16" x14ac:dyDescent="0.3">
      <c r="A24" t="s">
        <v>127</v>
      </c>
      <c r="B24" t="s">
        <v>128</v>
      </c>
      <c r="C24" t="s">
        <v>129</v>
      </c>
      <c r="D24" s="4">
        <v>45336</v>
      </c>
      <c r="E24" t="s">
        <v>59</v>
      </c>
      <c r="F24" t="s">
        <v>131</v>
      </c>
      <c r="G24" t="s">
        <v>310</v>
      </c>
      <c r="H24" t="s">
        <v>49</v>
      </c>
      <c r="I24">
        <v>3</v>
      </c>
      <c r="J24">
        <v>18000</v>
      </c>
      <c r="K24">
        <v>43200</v>
      </c>
      <c r="L24">
        <v>0.2</v>
      </c>
      <c r="M24">
        <v>1080</v>
      </c>
      <c r="N24" t="s">
        <v>25</v>
      </c>
      <c r="O24" t="s">
        <v>67</v>
      </c>
      <c r="P24" t="s">
        <v>27</v>
      </c>
    </row>
    <row r="25" spans="1:16" x14ac:dyDescent="0.3">
      <c r="A25" t="s">
        <v>132</v>
      </c>
      <c r="B25" t="s">
        <v>133</v>
      </c>
      <c r="C25" t="s">
        <v>134</v>
      </c>
      <c r="D25" s="5">
        <v>45637</v>
      </c>
      <c r="E25" t="s">
        <v>46</v>
      </c>
      <c r="F25" t="s">
        <v>93</v>
      </c>
      <c r="G25" t="s">
        <v>23</v>
      </c>
      <c r="H25" t="s">
        <v>135</v>
      </c>
      <c r="I25">
        <v>3</v>
      </c>
      <c r="J25">
        <v>1900</v>
      </c>
      <c r="K25">
        <v>5700</v>
      </c>
      <c r="L25">
        <v>0</v>
      </c>
      <c r="M25">
        <v>2280</v>
      </c>
      <c r="N25" t="s">
        <v>40</v>
      </c>
      <c r="O25" t="s">
        <v>67</v>
      </c>
      <c r="P25" t="s">
        <v>91</v>
      </c>
    </row>
    <row r="26" spans="1:16" x14ac:dyDescent="0.3">
      <c r="A26" t="s">
        <v>136</v>
      </c>
      <c r="B26" t="s">
        <v>51</v>
      </c>
      <c r="C26" t="s">
        <v>52</v>
      </c>
      <c r="D26" s="4">
        <v>45626</v>
      </c>
      <c r="E26" t="s">
        <v>87</v>
      </c>
      <c r="F26" t="s">
        <v>137</v>
      </c>
      <c r="G26" t="s">
        <v>33</v>
      </c>
      <c r="H26" t="s">
        <v>138</v>
      </c>
      <c r="I26">
        <v>4</v>
      </c>
      <c r="J26">
        <v>950</v>
      </c>
      <c r="K26">
        <v>3610</v>
      </c>
      <c r="L26">
        <v>0.05</v>
      </c>
      <c r="M26">
        <v>1634</v>
      </c>
      <c r="N26" t="s">
        <v>139</v>
      </c>
      <c r="O26" t="s">
        <v>41</v>
      </c>
      <c r="P26" t="s">
        <v>91</v>
      </c>
    </row>
    <row r="27" spans="1:16" x14ac:dyDescent="0.3">
      <c r="A27" t="s">
        <v>140</v>
      </c>
      <c r="B27" t="s">
        <v>141</v>
      </c>
      <c r="C27" t="s">
        <v>142</v>
      </c>
      <c r="D27" t="s">
        <v>317</v>
      </c>
      <c r="E27" t="s">
        <v>21</v>
      </c>
      <c r="F27" t="s">
        <v>81</v>
      </c>
      <c r="G27" t="s">
        <v>308</v>
      </c>
      <c r="H27" t="s">
        <v>61</v>
      </c>
      <c r="I27">
        <v>2</v>
      </c>
      <c r="J27">
        <v>1800</v>
      </c>
      <c r="K27">
        <v>3420</v>
      </c>
      <c r="L27">
        <v>0.05</v>
      </c>
      <c r="M27">
        <v>1332</v>
      </c>
      <c r="N27" t="s">
        <v>40</v>
      </c>
      <c r="O27" t="s">
        <v>55</v>
      </c>
      <c r="P27" t="s">
        <v>62</v>
      </c>
    </row>
    <row r="28" spans="1:16" x14ac:dyDescent="0.3">
      <c r="A28" t="s">
        <v>143</v>
      </c>
      <c r="B28" t="s">
        <v>57</v>
      </c>
      <c r="C28" t="s">
        <v>58</v>
      </c>
      <c r="D28" s="4">
        <v>45444</v>
      </c>
      <c r="E28" t="s">
        <v>46</v>
      </c>
      <c r="F28" t="s">
        <v>93</v>
      </c>
      <c r="G28" t="s">
        <v>82</v>
      </c>
      <c r="H28" t="s">
        <v>83</v>
      </c>
      <c r="I28">
        <v>4</v>
      </c>
      <c r="J28">
        <v>1200</v>
      </c>
      <c r="K28">
        <v>4800</v>
      </c>
      <c r="L28">
        <v>0</v>
      </c>
      <c r="M28">
        <v>2880</v>
      </c>
      <c r="N28" t="s">
        <v>54</v>
      </c>
      <c r="O28" t="s">
        <v>35</v>
      </c>
      <c r="P28" t="s">
        <v>68</v>
      </c>
    </row>
    <row r="29" spans="1:16" x14ac:dyDescent="0.3">
      <c r="A29" t="s">
        <v>144</v>
      </c>
      <c r="B29" t="s">
        <v>107</v>
      </c>
      <c r="C29" t="s">
        <v>108</v>
      </c>
      <c r="D29" s="5">
        <v>45577</v>
      </c>
      <c r="E29" t="s">
        <v>46</v>
      </c>
      <c r="F29" t="s">
        <v>105</v>
      </c>
      <c r="G29" t="s">
        <v>74</v>
      </c>
      <c r="H29" t="s">
        <v>145</v>
      </c>
      <c r="I29">
        <v>4</v>
      </c>
      <c r="J29">
        <v>799</v>
      </c>
      <c r="K29">
        <v>3196</v>
      </c>
      <c r="L29">
        <v>0</v>
      </c>
      <c r="M29">
        <v>1757.8</v>
      </c>
      <c r="N29" t="s">
        <v>25</v>
      </c>
      <c r="O29" t="s">
        <v>35</v>
      </c>
      <c r="P29" t="s">
        <v>62</v>
      </c>
    </row>
    <row r="30" spans="1:16" x14ac:dyDescent="0.3">
      <c r="A30" t="s">
        <v>146</v>
      </c>
      <c r="B30" t="s">
        <v>147</v>
      </c>
      <c r="C30" t="s">
        <v>148</v>
      </c>
      <c r="D30" s="4">
        <v>45489</v>
      </c>
      <c r="E30" t="s">
        <v>87</v>
      </c>
      <c r="F30" t="s">
        <v>149</v>
      </c>
      <c r="G30" t="s">
        <v>48</v>
      </c>
      <c r="H30" t="s">
        <v>49</v>
      </c>
      <c r="I30">
        <v>5</v>
      </c>
      <c r="J30">
        <v>18000</v>
      </c>
      <c r="K30">
        <v>76500</v>
      </c>
      <c r="L30">
        <v>0.15</v>
      </c>
      <c r="M30">
        <v>6300</v>
      </c>
      <c r="O30" t="s">
        <v>26</v>
      </c>
      <c r="P30" t="s">
        <v>62</v>
      </c>
    </row>
    <row r="31" spans="1:16" x14ac:dyDescent="0.3">
      <c r="A31" t="s">
        <v>150</v>
      </c>
      <c r="B31" t="s">
        <v>151</v>
      </c>
      <c r="C31" t="s">
        <v>152</v>
      </c>
      <c r="D31" t="s">
        <v>318</v>
      </c>
      <c r="E31" t="s">
        <v>46</v>
      </c>
      <c r="F31" t="s">
        <v>73</v>
      </c>
      <c r="G31" t="s">
        <v>74</v>
      </c>
      <c r="H31" t="s">
        <v>145</v>
      </c>
      <c r="I31">
        <v>3</v>
      </c>
      <c r="J31">
        <v>799</v>
      </c>
      <c r="K31">
        <v>2157.3000000000002</v>
      </c>
      <c r="L31">
        <v>0.1</v>
      </c>
      <c r="M31">
        <v>1078.6500000000001</v>
      </c>
      <c r="N31" t="s">
        <v>76</v>
      </c>
      <c r="O31" t="s">
        <v>67</v>
      </c>
    </row>
    <row r="32" spans="1:16" x14ac:dyDescent="0.3">
      <c r="A32" t="s">
        <v>153</v>
      </c>
      <c r="B32" t="s">
        <v>154</v>
      </c>
      <c r="C32" t="s">
        <v>155</v>
      </c>
      <c r="D32" s="4">
        <v>45524</v>
      </c>
      <c r="E32" t="s">
        <v>59</v>
      </c>
      <c r="F32" t="s">
        <v>60</v>
      </c>
      <c r="G32" t="s">
        <v>23</v>
      </c>
      <c r="H32" t="s">
        <v>24</v>
      </c>
      <c r="I32">
        <v>2</v>
      </c>
      <c r="J32">
        <v>1100</v>
      </c>
      <c r="K32">
        <v>1980</v>
      </c>
      <c r="L32">
        <v>0.1</v>
      </c>
      <c r="M32">
        <v>880</v>
      </c>
      <c r="N32" t="s">
        <v>90</v>
      </c>
      <c r="O32" t="s">
        <v>26</v>
      </c>
      <c r="P32" t="s">
        <v>91</v>
      </c>
    </row>
    <row r="33" spans="1:16" x14ac:dyDescent="0.3">
      <c r="A33" t="s">
        <v>156</v>
      </c>
      <c r="B33" t="s">
        <v>157</v>
      </c>
      <c r="C33" t="s">
        <v>158</v>
      </c>
      <c r="D33" s="5">
        <v>45530</v>
      </c>
      <c r="E33" t="s">
        <v>21</v>
      </c>
      <c r="F33" t="s">
        <v>22</v>
      </c>
      <c r="G33" t="s">
        <v>74</v>
      </c>
      <c r="H33" t="s">
        <v>145</v>
      </c>
      <c r="I33">
        <v>2</v>
      </c>
      <c r="J33">
        <v>799</v>
      </c>
      <c r="K33">
        <v>1518.1</v>
      </c>
      <c r="L33">
        <v>0.05</v>
      </c>
      <c r="M33">
        <v>799</v>
      </c>
      <c r="N33" t="s">
        <v>76</v>
      </c>
      <c r="O33" t="s">
        <v>26</v>
      </c>
      <c r="P33" t="s">
        <v>27</v>
      </c>
    </row>
    <row r="34" spans="1:16" x14ac:dyDescent="0.3">
      <c r="A34" t="s">
        <v>159</v>
      </c>
      <c r="B34" t="s">
        <v>37</v>
      </c>
      <c r="C34" t="s">
        <v>38</v>
      </c>
      <c r="D34" s="4">
        <v>45357</v>
      </c>
      <c r="E34" t="s">
        <v>46</v>
      </c>
      <c r="F34" t="s">
        <v>93</v>
      </c>
      <c r="G34" t="s">
        <v>33</v>
      </c>
      <c r="H34" t="s">
        <v>138</v>
      </c>
      <c r="I34">
        <v>4</v>
      </c>
      <c r="J34">
        <v>950</v>
      </c>
      <c r="K34">
        <v>3230</v>
      </c>
      <c r="L34">
        <v>0.15</v>
      </c>
      <c r="M34">
        <v>1254</v>
      </c>
      <c r="N34" t="s">
        <v>54</v>
      </c>
      <c r="O34" t="s">
        <v>26</v>
      </c>
      <c r="P34" t="s">
        <v>27</v>
      </c>
    </row>
    <row r="35" spans="1:16" x14ac:dyDescent="0.3">
      <c r="A35" t="s">
        <v>161</v>
      </c>
      <c r="B35" t="s">
        <v>57</v>
      </c>
      <c r="C35" t="s">
        <v>58</v>
      </c>
      <c r="D35" s="4">
        <v>45333</v>
      </c>
      <c r="E35" t="s">
        <v>59</v>
      </c>
      <c r="F35" t="s">
        <v>131</v>
      </c>
      <c r="G35" t="s">
        <v>82</v>
      </c>
      <c r="H35" t="s">
        <v>98</v>
      </c>
      <c r="I35">
        <v>4</v>
      </c>
      <c r="J35">
        <v>2400</v>
      </c>
      <c r="K35">
        <v>8640</v>
      </c>
      <c r="L35">
        <v>0.1</v>
      </c>
      <c r="M35">
        <v>4032</v>
      </c>
      <c r="N35" t="s">
        <v>25</v>
      </c>
      <c r="O35" t="s">
        <v>67</v>
      </c>
      <c r="P35" t="s">
        <v>27</v>
      </c>
    </row>
    <row r="36" spans="1:16" x14ac:dyDescent="0.3">
      <c r="A36" t="s">
        <v>162</v>
      </c>
      <c r="B36" t="s">
        <v>163</v>
      </c>
      <c r="C36" t="s">
        <v>164</v>
      </c>
      <c r="D36" s="4">
        <v>45429</v>
      </c>
      <c r="E36" t="s">
        <v>87</v>
      </c>
      <c r="F36" t="s">
        <v>109</v>
      </c>
      <c r="G36" t="s">
        <v>23</v>
      </c>
      <c r="H36" t="s">
        <v>135</v>
      </c>
      <c r="I36">
        <v>3</v>
      </c>
      <c r="J36">
        <v>1900</v>
      </c>
      <c r="K36">
        <v>5700</v>
      </c>
      <c r="L36">
        <v>0</v>
      </c>
      <c r="M36">
        <v>2280</v>
      </c>
      <c r="N36" t="s">
        <v>139</v>
      </c>
      <c r="O36" t="s">
        <v>41</v>
      </c>
      <c r="P36" t="s">
        <v>27</v>
      </c>
    </row>
    <row r="37" spans="1:16" x14ac:dyDescent="0.3">
      <c r="A37" t="s">
        <v>165</v>
      </c>
      <c r="B37" t="s">
        <v>57</v>
      </c>
      <c r="C37" t="s">
        <v>58</v>
      </c>
      <c r="D37" s="5">
        <v>45628</v>
      </c>
      <c r="E37" t="s">
        <v>46</v>
      </c>
      <c r="F37" t="s">
        <v>93</v>
      </c>
      <c r="G37" t="s">
        <v>82</v>
      </c>
      <c r="H37" t="s">
        <v>89</v>
      </c>
      <c r="I37">
        <v>3</v>
      </c>
      <c r="J37">
        <v>650</v>
      </c>
      <c r="K37">
        <v>1950</v>
      </c>
      <c r="L37">
        <v>0</v>
      </c>
      <c r="M37">
        <v>1131</v>
      </c>
      <c r="N37" t="s">
        <v>40</v>
      </c>
      <c r="O37" t="s">
        <v>35</v>
      </c>
      <c r="P37" t="s">
        <v>27</v>
      </c>
    </row>
    <row r="38" spans="1:16" x14ac:dyDescent="0.3">
      <c r="A38" t="s">
        <v>166</v>
      </c>
      <c r="B38" t="s">
        <v>18</v>
      </c>
      <c r="C38" t="s">
        <v>19</v>
      </c>
      <c r="D38" s="4">
        <v>45348</v>
      </c>
      <c r="E38" t="s">
        <v>87</v>
      </c>
      <c r="F38" t="s">
        <v>149</v>
      </c>
      <c r="G38" t="s">
        <v>48</v>
      </c>
      <c r="H38" t="s">
        <v>49</v>
      </c>
      <c r="I38">
        <v>5</v>
      </c>
      <c r="J38">
        <v>18000</v>
      </c>
      <c r="K38">
        <v>81000</v>
      </c>
      <c r="L38">
        <v>0.1</v>
      </c>
      <c r="N38" t="s">
        <v>25</v>
      </c>
      <c r="O38" t="s">
        <v>41</v>
      </c>
      <c r="P38" t="s">
        <v>27</v>
      </c>
    </row>
    <row r="39" spans="1:16" x14ac:dyDescent="0.3">
      <c r="A39" t="s">
        <v>167</v>
      </c>
      <c r="B39" t="s">
        <v>70</v>
      </c>
      <c r="C39" t="s">
        <v>71</v>
      </c>
      <c r="D39" s="4">
        <v>45608</v>
      </c>
      <c r="E39" t="s">
        <v>59</v>
      </c>
      <c r="F39" t="s">
        <v>168</v>
      </c>
      <c r="G39" t="s">
        <v>23</v>
      </c>
      <c r="H39" t="s">
        <v>135</v>
      </c>
      <c r="I39">
        <v>1</v>
      </c>
      <c r="J39">
        <v>1900</v>
      </c>
      <c r="K39">
        <v>1805</v>
      </c>
      <c r="L39">
        <v>0.05</v>
      </c>
      <c r="N39" t="s">
        <v>25</v>
      </c>
      <c r="O39" t="s">
        <v>55</v>
      </c>
      <c r="P39" t="s">
        <v>91</v>
      </c>
    </row>
    <row r="40" spans="1:16" x14ac:dyDescent="0.3">
      <c r="A40" t="s">
        <v>169</v>
      </c>
      <c r="B40" t="s">
        <v>29</v>
      </c>
      <c r="C40" t="s">
        <v>30</v>
      </c>
      <c r="D40" s="4">
        <v>45594</v>
      </c>
      <c r="E40" t="s">
        <v>87</v>
      </c>
      <c r="F40" t="s">
        <v>137</v>
      </c>
      <c r="G40" t="s">
        <v>314</v>
      </c>
      <c r="H40" t="s">
        <v>89</v>
      </c>
      <c r="I40">
        <v>1</v>
      </c>
      <c r="J40">
        <v>650</v>
      </c>
      <c r="K40">
        <v>520</v>
      </c>
      <c r="L40">
        <v>0.2</v>
      </c>
      <c r="M40">
        <v>247</v>
      </c>
      <c r="N40" t="s">
        <v>139</v>
      </c>
      <c r="O40" t="s">
        <v>26</v>
      </c>
      <c r="P40" t="s">
        <v>27</v>
      </c>
    </row>
    <row r="41" spans="1:16" x14ac:dyDescent="0.3">
      <c r="A41" t="s">
        <v>170</v>
      </c>
      <c r="B41" t="s">
        <v>111</v>
      </c>
      <c r="C41" t="s">
        <v>112</v>
      </c>
      <c r="D41" s="5">
        <v>45581</v>
      </c>
      <c r="E41" t="s">
        <v>59</v>
      </c>
      <c r="F41" t="s">
        <v>131</v>
      </c>
      <c r="G41" t="s">
        <v>33</v>
      </c>
      <c r="H41" t="s">
        <v>61</v>
      </c>
      <c r="I41">
        <v>1</v>
      </c>
      <c r="J41">
        <v>1800</v>
      </c>
      <c r="K41">
        <v>1710</v>
      </c>
      <c r="L41">
        <v>0.05</v>
      </c>
      <c r="M41">
        <v>666</v>
      </c>
      <c r="O41" t="s">
        <v>35</v>
      </c>
      <c r="P41" t="s">
        <v>68</v>
      </c>
    </row>
    <row r="42" spans="1:16" x14ac:dyDescent="0.3">
      <c r="A42" t="s">
        <v>171</v>
      </c>
      <c r="B42" t="s">
        <v>172</v>
      </c>
      <c r="C42" t="s">
        <v>173</v>
      </c>
      <c r="D42" s="4">
        <v>45520</v>
      </c>
      <c r="E42" t="s">
        <v>87</v>
      </c>
      <c r="F42" t="s">
        <v>137</v>
      </c>
      <c r="G42" t="s">
        <v>48</v>
      </c>
      <c r="H42" t="s">
        <v>174</v>
      </c>
      <c r="I42">
        <v>4</v>
      </c>
      <c r="J42">
        <v>52000</v>
      </c>
      <c r="K42">
        <v>166400</v>
      </c>
      <c r="L42">
        <v>0.2</v>
      </c>
      <c r="M42">
        <v>-4160</v>
      </c>
      <c r="N42" t="s">
        <v>40</v>
      </c>
      <c r="O42" t="s">
        <v>67</v>
      </c>
      <c r="P42" t="s">
        <v>27</v>
      </c>
    </row>
    <row r="43" spans="1:16" x14ac:dyDescent="0.3">
      <c r="A43" t="s">
        <v>175</v>
      </c>
      <c r="B43" t="s">
        <v>172</v>
      </c>
      <c r="C43" t="s">
        <v>173</v>
      </c>
      <c r="D43" s="4">
        <v>45599</v>
      </c>
      <c r="E43" t="s">
        <v>46</v>
      </c>
      <c r="F43" t="s">
        <v>47</v>
      </c>
      <c r="G43" t="s">
        <v>33</v>
      </c>
      <c r="H43" t="s">
        <v>138</v>
      </c>
      <c r="I43">
        <v>1</v>
      </c>
      <c r="J43">
        <v>950</v>
      </c>
      <c r="K43">
        <v>855</v>
      </c>
      <c r="L43">
        <v>0.1</v>
      </c>
      <c r="M43">
        <v>361</v>
      </c>
      <c r="O43" t="s">
        <v>26</v>
      </c>
      <c r="P43" t="s">
        <v>68</v>
      </c>
    </row>
    <row r="44" spans="1:16" x14ac:dyDescent="0.3">
      <c r="A44" t="s">
        <v>176</v>
      </c>
      <c r="B44" t="s">
        <v>57</v>
      </c>
      <c r="C44" t="s">
        <v>58</v>
      </c>
      <c r="D44" s="4">
        <v>45521</v>
      </c>
      <c r="E44" t="s">
        <v>59</v>
      </c>
      <c r="F44" t="s">
        <v>168</v>
      </c>
      <c r="G44" t="s">
        <v>82</v>
      </c>
      <c r="H44" t="s">
        <v>98</v>
      </c>
      <c r="I44">
        <v>3</v>
      </c>
      <c r="J44">
        <v>2400</v>
      </c>
      <c r="K44">
        <v>7200</v>
      </c>
      <c r="L44">
        <v>0</v>
      </c>
      <c r="M44">
        <v>3744</v>
      </c>
      <c r="N44" t="s">
        <v>139</v>
      </c>
      <c r="O44" t="s">
        <v>26</v>
      </c>
      <c r="P44" t="s">
        <v>91</v>
      </c>
    </row>
    <row r="45" spans="1:16" x14ac:dyDescent="0.3">
      <c r="A45" t="s">
        <v>177</v>
      </c>
      <c r="B45" t="s">
        <v>43</v>
      </c>
      <c r="C45" t="s">
        <v>44</v>
      </c>
      <c r="D45" s="5">
        <v>45594</v>
      </c>
      <c r="E45" t="s">
        <v>21</v>
      </c>
      <c r="F45" t="s">
        <v>32</v>
      </c>
      <c r="G45" t="s">
        <v>309</v>
      </c>
      <c r="H45" t="s">
        <v>39</v>
      </c>
      <c r="I45">
        <v>1</v>
      </c>
      <c r="J45">
        <v>2800</v>
      </c>
      <c r="K45">
        <v>2800</v>
      </c>
      <c r="L45">
        <v>0</v>
      </c>
      <c r="M45">
        <v>952</v>
      </c>
      <c r="N45" t="s">
        <v>40</v>
      </c>
      <c r="O45" t="s">
        <v>26</v>
      </c>
      <c r="P45" t="s">
        <v>91</v>
      </c>
    </row>
    <row r="46" spans="1:16" x14ac:dyDescent="0.3">
      <c r="A46" t="s">
        <v>178</v>
      </c>
      <c r="B46" t="s">
        <v>151</v>
      </c>
      <c r="C46" t="s">
        <v>152</v>
      </c>
      <c r="D46" s="4">
        <v>45373</v>
      </c>
      <c r="E46" t="s">
        <v>46</v>
      </c>
      <c r="F46" t="s">
        <v>47</v>
      </c>
      <c r="G46" t="s">
        <v>82</v>
      </c>
      <c r="H46" t="s">
        <v>83</v>
      </c>
      <c r="I46">
        <v>2</v>
      </c>
      <c r="J46">
        <v>1200</v>
      </c>
      <c r="K46">
        <v>2400</v>
      </c>
      <c r="L46">
        <v>0</v>
      </c>
      <c r="M46">
        <v>1440</v>
      </c>
      <c r="N46" t="s">
        <v>76</v>
      </c>
      <c r="O46" t="s">
        <v>67</v>
      </c>
      <c r="P46" t="s">
        <v>27</v>
      </c>
    </row>
    <row r="47" spans="1:16" x14ac:dyDescent="0.3">
      <c r="A47" t="s">
        <v>179</v>
      </c>
      <c r="B47" t="s">
        <v>121</v>
      </c>
      <c r="C47" t="s">
        <v>122</v>
      </c>
      <c r="D47" t="s">
        <v>319</v>
      </c>
      <c r="E47" t="s">
        <v>59</v>
      </c>
      <c r="F47" t="s">
        <v>168</v>
      </c>
      <c r="G47" t="s">
        <v>33</v>
      </c>
      <c r="H47" t="s">
        <v>34</v>
      </c>
      <c r="I47">
        <v>2</v>
      </c>
      <c r="J47">
        <v>3200</v>
      </c>
      <c r="K47">
        <v>5760</v>
      </c>
      <c r="L47">
        <v>0.1</v>
      </c>
      <c r="M47">
        <v>1600</v>
      </c>
      <c r="N47" t="s">
        <v>76</v>
      </c>
      <c r="O47" t="s">
        <v>35</v>
      </c>
      <c r="P47" t="s">
        <v>27</v>
      </c>
    </row>
    <row r="48" spans="1:16" x14ac:dyDescent="0.3">
      <c r="A48" t="s">
        <v>180</v>
      </c>
      <c r="B48" t="s">
        <v>78</v>
      </c>
      <c r="C48" t="s">
        <v>79</v>
      </c>
      <c r="D48" s="4">
        <v>45630</v>
      </c>
      <c r="E48" t="s">
        <v>21</v>
      </c>
      <c r="F48" t="s">
        <v>81</v>
      </c>
      <c r="G48" t="s">
        <v>74</v>
      </c>
      <c r="H48" t="s">
        <v>75</v>
      </c>
      <c r="I48">
        <v>3</v>
      </c>
      <c r="J48">
        <v>1500</v>
      </c>
      <c r="K48">
        <v>4275</v>
      </c>
      <c r="L48">
        <v>0.05</v>
      </c>
      <c r="M48">
        <v>2025</v>
      </c>
      <c r="N48" t="s">
        <v>54</v>
      </c>
      <c r="O48" t="s">
        <v>26</v>
      </c>
      <c r="P48" t="s">
        <v>27</v>
      </c>
    </row>
    <row r="49" spans="1:16" x14ac:dyDescent="0.3">
      <c r="A49" t="s">
        <v>181</v>
      </c>
      <c r="B49" t="s">
        <v>141</v>
      </c>
      <c r="C49" t="s">
        <v>142</v>
      </c>
      <c r="D49" s="5">
        <v>45475</v>
      </c>
      <c r="E49" t="s">
        <v>46</v>
      </c>
      <c r="F49" t="s">
        <v>105</v>
      </c>
      <c r="G49" t="s">
        <v>82</v>
      </c>
      <c r="H49" t="s">
        <v>89</v>
      </c>
      <c r="I49">
        <v>3</v>
      </c>
      <c r="J49">
        <v>650</v>
      </c>
      <c r="K49">
        <v>1560</v>
      </c>
      <c r="L49">
        <v>0.2</v>
      </c>
      <c r="M49">
        <v>741</v>
      </c>
      <c r="N49" t="s">
        <v>25</v>
      </c>
      <c r="O49" t="s">
        <v>67</v>
      </c>
      <c r="P49" t="s">
        <v>27</v>
      </c>
    </row>
    <row r="50" spans="1:16" x14ac:dyDescent="0.3">
      <c r="A50" t="s">
        <v>182</v>
      </c>
      <c r="B50" t="s">
        <v>102</v>
      </c>
      <c r="C50" t="s">
        <v>103</v>
      </c>
      <c r="D50" s="4">
        <v>45422</v>
      </c>
      <c r="E50" t="s">
        <v>59</v>
      </c>
      <c r="F50" t="s">
        <v>183</v>
      </c>
      <c r="G50" t="s">
        <v>74</v>
      </c>
      <c r="H50" t="s">
        <v>145</v>
      </c>
      <c r="I50">
        <v>5</v>
      </c>
      <c r="J50">
        <v>799</v>
      </c>
      <c r="K50">
        <v>3196</v>
      </c>
      <c r="L50">
        <v>0.2</v>
      </c>
      <c r="M50">
        <v>1398.25</v>
      </c>
      <c r="N50" t="s">
        <v>139</v>
      </c>
      <c r="O50" t="s">
        <v>41</v>
      </c>
      <c r="P50" t="s">
        <v>27</v>
      </c>
    </row>
    <row r="51" spans="1:16" x14ac:dyDescent="0.3">
      <c r="A51" t="s">
        <v>184</v>
      </c>
      <c r="B51" t="s">
        <v>51</v>
      </c>
      <c r="C51" t="s">
        <v>52</v>
      </c>
      <c r="D51" s="4">
        <v>45302</v>
      </c>
      <c r="E51" t="s">
        <v>46</v>
      </c>
      <c r="F51" t="s">
        <v>93</v>
      </c>
      <c r="G51" t="s">
        <v>82</v>
      </c>
      <c r="H51" t="s">
        <v>89</v>
      </c>
      <c r="I51">
        <v>3</v>
      </c>
      <c r="J51">
        <v>650</v>
      </c>
      <c r="K51">
        <v>1755</v>
      </c>
      <c r="L51">
        <v>0.1</v>
      </c>
      <c r="M51">
        <v>936</v>
      </c>
      <c r="N51" t="s">
        <v>76</v>
      </c>
      <c r="O51" t="s">
        <v>26</v>
      </c>
      <c r="P51" t="s">
        <v>27</v>
      </c>
    </row>
    <row r="52" spans="1:16" x14ac:dyDescent="0.3">
      <c r="A52" t="s">
        <v>185</v>
      </c>
      <c r="B52" t="s">
        <v>107</v>
      </c>
      <c r="C52" t="s">
        <v>108</v>
      </c>
      <c r="D52" s="4">
        <v>45454</v>
      </c>
      <c r="E52" t="s">
        <v>87</v>
      </c>
      <c r="F52" t="s">
        <v>149</v>
      </c>
      <c r="G52" t="s">
        <v>48</v>
      </c>
      <c r="H52" t="s">
        <v>49</v>
      </c>
      <c r="I52">
        <v>3</v>
      </c>
      <c r="J52">
        <v>18000</v>
      </c>
      <c r="K52">
        <v>43200</v>
      </c>
      <c r="L52">
        <v>0.2</v>
      </c>
      <c r="M52">
        <v>1080</v>
      </c>
      <c r="N52" t="s">
        <v>54</v>
      </c>
      <c r="O52" t="s">
        <v>67</v>
      </c>
      <c r="P52" t="s">
        <v>91</v>
      </c>
    </row>
    <row r="53" spans="1:16" x14ac:dyDescent="0.3">
      <c r="A53" t="s">
        <v>186</v>
      </c>
      <c r="B53" t="s">
        <v>154</v>
      </c>
      <c r="C53" t="s">
        <v>155</v>
      </c>
      <c r="D53" s="5">
        <v>45638</v>
      </c>
      <c r="E53" t="s">
        <v>21</v>
      </c>
      <c r="F53" t="s">
        <v>81</v>
      </c>
      <c r="G53" t="s">
        <v>308</v>
      </c>
      <c r="H53" t="s">
        <v>61</v>
      </c>
      <c r="I53">
        <v>2</v>
      </c>
      <c r="J53">
        <v>1800</v>
      </c>
      <c r="K53">
        <v>3420</v>
      </c>
      <c r="L53">
        <v>0.05</v>
      </c>
      <c r="M53">
        <v>1332</v>
      </c>
      <c r="N53" t="s">
        <v>25</v>
      </c>
      <c r="O53" t="s">
        <v>55</v>
      </c>
      <c r="P53" t="s">
        <v>91</v>
      </c>
    </row>
    <row r="54" spans="1:16" x14ac:dyDescent="0.3">
      <c r="A54" t="s">
        <v>187</v>
      </c>
      <c r="B54" t="s">
        <v>115</v>
      </c>
      <c r="C54" t="s">
        <v>116</v>
      </c>
      <c r="D54" s="4">
        <v>45624</v>
      </c>
      <c r="E54" t="s">
        <v>87</v>
      </c>
      <c r="F54" t="s">
        <v>137</v>
      </c>
      <c r="G54" t="s">
        <v>82</v>
      </c>
      <c r="H54" t="s">
        <v>83</v>
      </c>
      <c r="I54">
        <v>4</v>
      </c>
      <c r="J54">
        <v>1200</v>
      </c>
      <c r="K54">
        <v>4320</v>
      </c>
      <c r="L54">
        <v>0.1</v>
      </c>
      <c r="M54">
        <v>2400</v>
      </c>
      <c r="N54" t="s">
        <v>139</v>
      </c>
      <c r="O54" t="s">
        <v>41</v>
      </c>
      <c r="P54" t="s">
        <v>27</v>
      </c>
    </row>
    <row r="55" spans="1:16" x14ac:dyDescent="0.3">
      <c r="A55" t="s">
        <v>188</v>
      </c>
      <c r="B55" t="s">
        <v>157</v>
      </c>
      <c r="C55" t="s">
        <v>158</v>
      </c>
      <c r="D55" s="4">
        <v>45570</v>
      </c>
      <c r="E55" t="s">
        <v>46</v>
      </c>
      <c r="F55" t="s">
        <v>93</v>
      </c>
      <c r="G55" t="s">
        <v>48</v>
      </c>
      <c r="H55" t="s">
        <v>174</v>
      </c>
      <c r="I55">
        <v>3</v>
      </c>
      <c r="J55">
        <v>52000</v>
      </c>
      <c r="K55">
        <v>140400</v>
      </c>
      <c r="L55">
        <v>0.1</v>
      </c>
      <c r="M55">
        <v>12480</v>
      </c>
      <c r="N55" t="s">
        <v>90</v>
      </c>
      <c r="O55" t="s">
        <v>67</v>
      </c>
      <c r="P55" t="s">
        <v>27</v>
      </c>
    </row>
    <row r="56" spans="1:16" x14ac:dyDescent="0.3">
      <c r="A56" t="s">
        <v>189</v>
      </c>
      <c r="B56" t="s">
        <v>190</v>
      </c>
      <c r="C56" t="s">
        <v>191</v>
      </c>
      <c r="D56" s="4">
        <v>45446</v>
      </c>
      <c r="E56" t="s">
        <v>87</v>
      </c>
      <c r="F56" t="s">
        <v>149</v>
      </c>
      <c r="G56" t="s">
        <v>314</v>
      </c>
      <c r="H56" t="s">
        <v>83</v>
      </c>
      <c r="I56">
        <v>5</v>
      </c>
      <c r="J56">
        <v>1200</v>
      </c>
      <c r="K56">
        <v>6000</v>
      </c>
      <c r="L56">
        <v>0</v>
      </c>
      <c r="M56">
        <v>3600</v>
      </c>
      <c r="N56" t="s">
        <v>25</v>
      </c>
      <c r="O56" t="s">
        <v>41</v>
      </c>
      <c r="P56" t="s">
        <v>27</v>
      </c>
    </row>
    <row r="57" spans="1:16" x14ac:dyDescent="0.3">
      <c r="A57" t="s">
        <v>192</v>
      </c>
      <c r="B57" t="s">
        <v>190</v>
      </c>
      <c r="C57" t="s">
        <v>191</v>
      </c>
      <c r="D57" s="5">
        <v>45646</v>
      </c>
      <c r="E57" t="s">
        <v>59</v>
      </c>
      <c r="F57" t="s">
        <v>168</v>
      </c>
      <c r="G57" t="s">
        <v>74</v>
      </c>
      <c r="H57" t="s">
        <v>75</v>
      </c>
      <c r="I57">
        <v>3</v>
      </c>
      <c r="J57">
        <v>1500</v>
      </c>
      <c r="K57">
        <v>4500</v>
      </c>
      <c r="L57">
        <v>0</v>
      </c>
      <c r="M57">
        <v>2250</v>
      </c>
      <c r="O57" t="s">
        <v>35</v>
      </c>
      <c r="P57" t="s">
        <v>27</v>
      </c>
    </row>
    <row r="58" spans="1:16" x14ac:dyDescent="0.3">
      <c r="A58" t="s">
        <v>193</v>
      </c>
      <c r="B58" t="s">
        <v>194</v>
      </c>
      <c r="C58" t="s">
        <v>152</v>
      </c>
      <c r="D58" s="4">
        <v>45470</v>
      </c>
      <c r="E58" t="s">
        <v>59</v>
      </c>
      <c r="F58" t="s">
        <v>168</v>
      </c>
      <c r="G58" t="s">
        <v>312</v>
      </c>
      <c r="H58" t="s">
        <v>195</v>
      </c>
      <c r="I58">
        <v>2</v>
      </c>
      <c r="J58">
        <v>2200</v>
      </c>
      <c r="K58">
        <v>3520</v>
      </c>
      <c r="L58">
        <v>0.2</v>
      </c>
      <c r="M58">
        <v>1100</v>
      </c>
      <c r="N58" t="s">
        <v>90</v>
      </c>
      <c r="O58" t="s">
        <v>55</v>
      </c>
      <c r="P58" t="s">
        <v>27</v>
      </c>
    </row>
    <row r="59" spans="1:16" x14ac:dyDescent="0.3">
      <c r="A59" t="s">
        <v>196</v>
      </c>
      <c r="B59" t="s">
        <v>197</v>
      </c>
      <c r="C59" t="s">
        <v>198</v>
      </c>
      <c r="D59" s="4">
        <v>45360</v>
      </c>
      <c r="E59" t="s">
        <v>21</v>
      </c>
      <c r="F59" t="s">
        <v>22</v>
      </c>
      <c r="G59" t="s">
        <v>74</v>
      </c>
      <c r="H59" t="s">
        <v>195</v>
      </c>
      <c r="I59">
        <v>3</v>
      </c>
      <c r="J59">
        <v>2200</v>
      </c>
      <c r="K59">
        <v>5940</v>
      </c>
      <c r="L59">
        <v>0.1</v>
      </c>
      <c r="M59">
        <v>2310</v>
      </c>
      <c r="N59" t="s">
        <v>90</v>
      </c>
      <c r="O59" t="s">
        <v>35</v>
      </c>
      <c r="P59" t="s">
        <v>27</v>
      </c>
    </row>
    <row r="60" spans="1:16" x14ac:dyDescent="0.3">
      <c r="A60" t="s">
        <v>199</v>
      </c>
      <c r="B60" t="s">
        <v>43</v>
      </c>
      <c r="C60" t="s">
        <v>44</v>
      </c>
      <c r="D60" s="4">
        <v>45318</v>
      </c>
      <c r="E60" t="s">
        <v>87</v>
      </c>
      <c r="F60" t="s">
        <v>137</v>
      </c>
      <c r="G60" t="s">
        <v>312</v>
      </c>
      <c r="H60" t="s">
        <v>75</v>
      </c>
      <c r="I60">
        <v>3</v>
      </c>
      <c r="J60">
        <v>1500</v>
      </c>
      <c r="K60">
        <v>4500</v>
      </c>
      <c r="L60">
        <v>0</v>
      </c>
      <c r="M60">
        <v>2250</v>
      </c>
      <c r="N60" t="s">
        <v>76</v>
      </c>
      <c r="O60" t="s">
        <v>26</v>
      </c>
      <c r="P60" t="s">
        <v>91</v>
      </c>
    </row>
    <row r="61" spans="1:16" x14ac:dyDescent="0.3">
      <c r="A61" t="s">
        <v>200</v>
      </c>
      <c r="B61" t="s">
        <v>102</v>
      </c>
      <c r="C61" t="s">
        <v>103</v>
      </c>
      <c r="D61" s="5">
        <v>45461</v>
      </c>
      <c r="E61" t="s">
        <v>87</v>
      </c>
      <c r="F61" t="s">
        <v>88</v>
      </c>
      <c r="G61" t="s">
        <v>74</v>
      </c>
      <c r="H61" t="s">
        <v>145</v>
      </c>
      <c r="I61">
        <v>2</v>
      </c>
      <c r="J61">
        <v>799</v>
      </c>
      <c r="K61">
        <v>1278.4000000000001</v>
      </c>
      <c r="L61">
        <v>0.2</v>
      </c>
      <c r="M61">
        <v>559.29999999999995</v>
      </c>
      <c r="N61" t="s">
        <v>40</v>
      </c>
      <c r="O61" t="s">
        <v>41</v>
      </c>
      <c r="P61" t="s">
        <v>27</v>
      </c>
    </row>
    <row r="62" spans="1:16" x14ac:dyDescent="0.3">
      <c r="A62" t="s">
        <v>201</v>
      </c>
      <c r="B62" t="s">
        <v>18</v>
      </c>
      <c r="C62" t="s">
        <v>19</v>
      </c>
      <c r="D62" s="4">
        <v>45439</v>
      </c>
      <c r="E62" t="s">
        <v>46</v>
      </c>
      <c r="F62" t="s">
        <v>47</v>
      </c>
      <c r="G62" t="s">
        <v>309</v>
      </c>
      <c r="H62" t="s">
        <v>39</v>
      </c>
      <c r="I62">
        <v>1</v>
      </c>
      <c r="J62">
        <v>2800</v>
      </c>
      <c r="K62">
        <v>2240</v>
      </c>
      <c r="L62">
        <v>0.2</v>
      </c>
      <c r="N62" t="s">
        <v>76</v>
      </c>
      <c r="O62" t="s">
        <v>26</v>
      </c>
      <c r="P62" t="s">
        <v>62</v>
      </c>
    </row>
    <row r="63" spans="1:16" x14ac:dyDescent="0.3">
      <c r="A63" t="s">
        <v>202</v>
      </c>
      <c r="B63" t="s">
        <v>197</v>
      </c>
      <c r="C63" t="s">
        <v>198</v>
      </c>
      <c r="D63" s="4">
        <v>45418</v>
      </c>
      <c r="E63" t="s">
        <v>87</v>
      </c>
      <c r="F63" t="s">
        <v>137</v>
      </c>
      <c r="G63" t="s">
        <v>312</v>
      </c>
      <c r="H63" t="s">
        <v>145</v>
      </c>
      <c r="I63">
        <v>3</v>
      </c>
      <c r="J63">
        <v>799</v>
      </c>
      <c r="K63">
        <v>2277.15</v>
      </c>
      <c r="L63">
        <v>0.05</v>
      </c>
      <c r="M63">
        <v>1198.5</v>
      </c>
      <c r="N63" t="s">
        <v>40</v>
      </c>
      <c r="O63" t="s">
        <v>35</v>
      </c>
      <c r="P63" t="s">
        <v>27</v>
      </c>
    </row>
    <row r="64" spans="1:16" x14ac:dyDescent="0.3">
      <c r="A64" t="s">
        <v>203</v>
      </c>
      <c r="B64" t="s">
        <v>204</v>
      </c>
      <c r="C64" t="s">
        <v>155</v>
      </c>
      <c r="D64" s="4">
        <v>45587</v>
      </c>
      <c r="E64" t="s">
        <v>87</v>
      </c>
      <c r="F64" t="s">
        <v>109</v>
      </c>
      <c r="G64" t="s">
        <v>48</v>
      </c>
      <c r="H64" t="s">
        <v>100</v>
      </c>
      <c r="I64">
        <v>2</v>
      </c>
      <c r="J64">
        <v>2500</v>
      </c>
      <c r="K64">
        <v>5000</v>
      </c>
      <c r="L64">
        <v>0</v>
      </c>
      <c r="M64">
        <v>1900</v>
      </c>
      <c r="N64" t="s">
        <v>54</v>
      </c>
      <c r="O64" t="s">
        <v>55</v>
      </c>
      <c r="P64" t="s">
        <v>91</v>
      </c>
    </row>
    <row r="65" spans="1:16" x14ac:dyDescent="0.3">
      <c r="A65" t="s">
        <v>205</v>
      </c>
      <c r="B65" t="s">
        <v>194</v>
      </c>
      <c r="C65" t="s">
        <v>152</v>
      </c>
      <c r="D65" s="5">
        <v>45364</v>
      </c>
      <c r="E65" t="s">
        <v>59</v>
      </c>
      <c r="F65" t="s">
        <v>168</v>
      </c>
      <c r="G65" t="s">
        <v>33</v>
      </c>
      <c r="H65" t="s">
        <v>138</v>
      </c>
      <c r="I65">
        <v>1</v>
      </c>
      <c r="J65">
        <v>950</v>
      </c>
      <c r="K65">
        <v>950</v>
      </c>
      <c r="L65">
        <v>0</v>
      </c>
      <c r="M65">
        <v>456</v>
      </c>
      <c r="N65" t="s">
        <v>54</v>
      </c>
      <c r="O65" t="s">
        <v>67</v>
      </c>
      <c r="P65" t="s">
        <v>27</v>
      </c>
    </row>
    <row r="66" spans="1:16" x14ac:dyDescent="0.3">
      <c r="A66" t="s">
        <v>206</v>
      </c>
      <c r="B66" t="s">
        <v>43</v>
      </c>
      <c r="C66" t="s">
        <v>44</v>
      </c>
      <c r="D66" s="4">
        <v>45313</v>
      </c>
      <c r="E66" t="s">
        <v>87</v>
      </c>
      <c r="F66" t="s">
        <v>149</v>
      </c>
      <c r="G66" t="s">
        <v>74</v>
      </c>
      <c r="H66" t="s">
        <v>75</v>
      </c>
      <c r="I66">
        <v>2</v>
      </c>
      <c r="J66">
        <v>1500</v>
      </c>
      <c r="K66">
        <v>3000</v>
      </c>
      <c r="L66">
        <v>0</v>
      </c>
      <c r="M66">
        <v>1500</v>
      </c>
      <c r="N66" t="s">
        <v>25</v>
      </c>
      <c r="O66" t="s">
        <v>67</v>
      </c>
      <c r="P66" t="s">
        <v>27</v>
      </c>
    </row>
    <row r="67" spans="1:16" x14ac:dyDescent="0.3">
      <c r="A67" t="s">
        <v>207</v>
      </c>
      <c r="B67" t="s">
        <v>208</v>
      </c>
      <c r="C67" t="s">
        <v>209</v>
      </c>
      <c r="D67" t="s">
        <v>320</v>
      </c>
      <c r="E67" t="s">
        <v>59</v>
      </c>
      <c r="F67" t="s">
        <v>131</v>
      </c>
      <c r="G67" t="s">
        <v>310</v>
      </c>
      <c r="H67" t="s">
        <v>49</v>
      </c>
      <c r="I67">
        <v>5</v>
      </c>
      <c r="J67">
        <v>18000</v>
      </c>
      <c r="K67">
        <v>81000</v>
      </c>
      <c r="L67">
        <v>0.1</v>
      </c>
      <c r="M67">
        <v>10800</v>
      </c>
      <c r="O67" t="s">
        <v>55</v>
      </c>
      <c r="P67" t="s">
        <v>62</v>
      </c>
    </row>
    <row r="68" spans="1:16" x14ac:dyDescent="0.3">
      <c r="A68" t="s">
        <v>210</v>
      </c>
      <c r="B68" t="s">
        <v>111</v>
      </c>
      <c r="C68" t="s">
        <v>112</v>
      </c>
      <c r="D68" s="4">
        <v>45433</v>
      </c>
      <c r="E68" t="s">
        <v>87</v>
      </c>
      <c r="F68" t="s">
        <v>137</v>
      </c>
      <c r="G68" t="s">
        <v>33</v>
      </c>
      <c r="H68" t="s">
        <v>61</v>
      </c>
      <c r="I68">
        <v>4</v>
      </c>
      <c r="J68">
        <v>1800</v>
      </c>
      <c r="K68">
        <v>6840</v>
      </c>
      <c r="L68">
        <v>0.05</v>
      </c>
      <c r="M68">
        <v>2664</v>
      </c>
      <c r="N68" t="s">
        <v>54</v>
      </c>
      <c r="O68" t="s">
        <v>55</v>
      </c>
      <c r="P68" t="s">
        <v>27</v>
      </c>
    </row>
    <row r="69" spans="1:16" x14ac:dyDescent="0.3">
      <c r="A69" t="s">
        <v>211</v>
      </c>
      <c r="B69" t="s">
        <v>78</v>
      </c>
      <c r="C69" t="s">
        <v>79</v>
      </c>
      <c r="D69" s="5">
        <v>45482</v>
      </c>
      <c r="E69" t="s">
        <v>46</v>
      </c>
      <c r="F69" t="s">
        <v>47</v>
      </c>
      <c r="G69" t="s">
        <v>82</v>
      </c>
      <c r="H69" t="s">
        <v>89</v>
      </c>
      <c r="I69">
        <v>4</v>
      </c>
      <c r="J69">
        <v>650</v>
      </c>
      <c r="K69">
        <v>2080</v>
      </c>
      <c r="L69">
        <v>0.2</v>
      </c>
      <c r="M69">
        <v>988</v>
      </c>
      <c r="N69" t="s">
        <v>139</v>
      </c>
      <c r="O69" t="s">
        <v>67</v>
      </c>
      <c r="P69" t="s">
        <v>27</v>
      </c>
    </row>
    <row r="70" spans="1:16" x14ac:dyDescent="0.3">
      <c r="A70" t="s">
        <v>212</v>
      </c>
      <c r="B70" t="s">
        <v>107</v>
      </c>
      <c r="C70" t="s">
        <v>108</v>
      </c>
      <c r="D70" s="4">
        <v>45545</v>
      </c>
      <c r="E70" t="s">
        <v>59</v>
      </c>
      <c r="F70" t="s">
        <v>60</v>
      </c>
      <c r="G70" t="s">
        <v>33</v>
      </c>
      <c r="H70" t="s">
        <v>138</v>
      </c>
      <c r="I70">
        <v>4</v>
      </c>
      <c r="J70">
        <v>950</v>
      </c>
      <c r="K70">
        <v>3800</v>
      </c>
      <c r="L70">
        <v>0</v>
      </c>
      <c r="N70" t="s">
        <v>139</v>
      </c>
      <c r="O70" t="s">
        <v>35</v>
      </c>
      <c r="P70" t="s">
        <v>27</v>
      </c>
    </row>
    <row r="71" spans="1:16" x14ac:dyDescent="0.3">
      <c r="A71" t="s">
        <v>213</v>
      </c>
      <c r="B71" t="s">
        <v>107</v>
      </c>
      <c r="C71" t="s">
        <v>108</v>
      </c>
      <c r="D71" s="4">
        <v>45391</v>
      </c>
      <c r="E71" t="s">
        <v>87</v>
      </c>
      <c r="F71" t="s">
        <v>137</v>
      </c>
      <c r="G71" t="s">
        <v>33</v>
      </c>
      <c r="H71" t="s">
        <v>34</v>
      </c>
      <c r="I71">
        <v>4</v>
      </c>
      <c r="J71">
        <v>3200</v>
      </c>
      <c r="K71">
        <v>11520</v>
      </c>
      <c r="L71">
        <v>0.1</v>
      </c>
      <c r="M71">
        <v>3200</v>
      </c>
      <c r="N71" t="s">
        <v>90</v>
      </c>
      <c r="O71" t="s">
        <v>26</v>
      </c>
      <c r="P71" t="s">
        <v>27</v>
      </c>
    </row>
    <row r="72" spans="1:16" x14ac:dyDescent="0.3">
      <c r="A72" t="s">
        <v>214</v>
      </c>
      <c r="B72" t="s">
        <v>215</v>
      </c>
      <c r="C72" t="s">
        <v>216</v>
      </c>
      <c r="D72" s="4">
        <v>45397</v>
      </c>
      <c r="E72" t="s">
        <v>59</v>
      </c>
      <c r="F72" t="s">
        <v>168</v>
      </c>
      <c r="G72" t="s">
        <v>48</v>
      </c>
      <c r="H72" t="s">
        <v>49</v>
      </c>
      <c r="I72">
        <v>1</v>
      </c>
      <c r="J72">
        <v>18000</v>
      </c>
      <c r="K72">
        <v>14400</v>
      </c>
      <c r="L72">
        <v>0.2</v>
      </c>
      <c r="M72">
        <v>360</v>
      </c>
      <c r="N72" t="s">
        <v>40</v>
      </c>
      <c r="O72" t="s">
        <v>67</v>
      </c>
      <c r="P72" t="s">
        <v>27</v>
      </c>
    </row>
    <row r="73" spans="1:16" x14ac:dyDescent="0.3">
      <c r="A73" t="s">
        <v>217</v>
      </c>
      <c r="B73" t="s">
        <v>51</v>
      </c>
      <c r="C73" t="s">
        <v>52</v>
      </c>
      <c r="D73" s="5">
        <v>45361</v>
      </c>
      <c r="E73" t="s">
        <v>59</v>
      </c>
      <c r="F73" t="s">
        <v>168</v>
      </c>
      <c r="G73" t="s">
        <v>310</v>
      </c>
      <c r="H73" t="s">
        <v>100</v>
      </c>
      <c r="I73">
        <v>5</v>
      </c>
      <c r="J73">
        <v>2500</v>
      </c>
      <c r="K73">
        <v>10625</v>
      </c>
      <c r="L73">
        <v>0.15</v>
      </c>
      <c r="M73">
        <v>2875</v>
      </c>
      <c r="N73" t="s">
        <v>90</v>
      </c>
      <c r="O73" t="s">
        <v>67</v>
      </c>
      <c r="P73" t="s">
        <v>27</v>
      </c>
    </row>
    <row r="74" spans="1:16" x14ac:dyDescent="0.3">
      <c r="A74" t="s">
        <v>218</v>
      </c>
      <c r="B74" t="s">
        <v>208</v>
      </c>
      <c r="C74" t="s">
        <v>209</v>
      </c>
      <c r="D74" s="4">
        <v>45626</v>
      </c>
      <c r="E74" t="s">
        <v>87</v>
      </c>
      <c r="F74" t="s">
        <v>149</v>
      </c>
      <c r="G74" t="s">
        <v>23</v>
      </c>
      <c r="H74" t="s">
        <v>24</v>
      </c>
      <c r="I74">
        <v>3</v>
      </c>
      <c r="J74">
        <v>1100</v>
      </c>
      <c r="K74">
        <v>3300</v>
      </c>
      <c r="L74">
        <v>0</v>
      </c>
      <c r="M74">
        <v>1650</v>
      </c>
      <c r="O74" t="s">
        <v>67</v>
      </c>
      <c r="P74" t="s">
        <v>62</v>
      </c>
    </row>
    <row r="75" spans="1:16" x14ac:dyDescent="0.3">
      <c r="A75" t="s">
        <v>219</v>
      </c>
      <c r="B75" t="s">
        <v>220</v>
      </c>
      <c r="C75" t="s">
        <v>19</v>
      </c>
      <c r="D75" t="s">
        <v>321</v>
      </c>
      <c r="E75" t="s">
        <v>46</v>
      </c>
      <c r="F75" t="s">
        <v>93</v>
      </c>
      <c r="G75" t="s">
        <v>23</v>
      </c>
      <c r="H75" t="s">
        <v>39</v>
      </c>
      <c r="I75">
        <v>5</v>
      </c>
      <c r="J75">
        <v>2800</v>
      </c>
      <c r="K75">
        <v>14000</v>
      </c>
      <c r="L75">
        <v>0</v>
      </c>
      <c r="M75">
        <v>4760</v>
      </c>
      <c r="N75" t="s">
        <v>76</v>
      </c>
      <c r="O75" t="s">
        <v>55</v>
      </c>
      <c r="P75" t="s">
        <v>27</v>
      </c>
    </row>
    <row r="76" spans="1:16" x14ac:dyDescent="0.3">
      <c r="A76" t="s">
        <v>221</v>
      </c>
      <c r="B76" t="s">
        <v>125</v>
      </c>
      <c r="C76" t="s">
        <v>126</v>
      </c>
      <c r="D76" s="4">
        <v>45639</v>
      </c>
      <c r="E76" t="s">
        <v>59</v>
      </c>
      <c r="F76" t="s">
        <v>183</v>
      </c>
      <c r="G76" t="s">
        <v>23</v>
      </c>
      <c r="H76" t="s">
        <v>24</v>
      </c>
      <c r="I76">
        <v>4</v>
      </c>
      <c r="J76">
        <v>1100</v>
      </c>
      <c r="K76">
        <v>3960</v>
      </c>
      <c r="L76">
        <v>0.1</v>
      </c>
      <c r="M76">
        <v>1760</v>
      </c>
      <c r="N76" t="s">
        <v>40</v>
      </c>
      <c r="O76" t="s">
        <v>26</v>
      </c>
      <c r="P76" t="s">
        <v>91</v>
      </c>
    </row>
    <row r="77" spans="1:16" x14ac:dyDescent="0.3">
      <c r="A77" t="s">
        <v>222</v>
      </c>
      <c r="B77" t="s">
        <v>115</v>
      </c>
      <c r="C77" t="s">
        <v>116</v>
      </c>
      <c r="D77" s="5">
        <v>45298</v>
      </c>
      <c r="E77" t="s">
        <v>46</v>
      </c>
      <c r="F77" t="s">
        <v>47</v>
      </c>
      <c r="G77" t="s">
        <v>23</v>
      </c>
      <c r="H77" t="s">
        <v>135</v>
      </c>
      <c r="I77">
        <v>4</v>
      </c>
      <c r="J77">
        <v>1900</v>
      </c>
      <c r="K77">
        <v>6840</v>
      </c>
      <c r="L77">
        <v>0.1</v>
      </c>
      <c r="M77">
        <v>2280</v>
      </c>
      <c r="N77" t="s">
        <v>90</v>
      </c>
      <c r="O77" t="s">
        <v>67</v>
      </c>
      <c r="P77" t="s">
        <v>27</v>
      </c>
    </row>
    <row r="78" spans="1:16" x14ac:dyDescent="0.3">
      <c r="A78" t="s">
        <v>223</v>
      </c>
      <c r="B78" t="s">
        <v>208</v>
      </c>
      <c r="C78" t="s">
        <v>209</v>
      </c>
      <c r="D78" s="4">
        <v>45292</v>
      </c>
      <c r="E78" t="s">
        <v>21</v>
      </c>
      <c r="F78" t="s">
        <v>22</v>
      </c>
      <c r="G78" t="s">
        <v>23</v>
      </c>
      <c r="H78" t="s">
        <v>24</v>
      </c>
      <c r="I78">
        <v>2</v>
      </c>
      <c r="J78">
        <v>1100</v>
      </c>
      <c r="K78">
        <v>1870</v>
      </c>
      <c r="L78">
        <v>0.15</v>
      </c>
      <c r="M78">
        <v>770</v>
      </c>
      <c r="O78" t="s">
        <v>41</v>
      </c>
      <c r="P78" t="s">
        <v>27</v>
      </c>
    </row>
    <row r="79" spans="1:16" x14ac:dyDescent="0.3">
      <c r="A79" t="s">
        <v>224</v>
      </c>
      <c r="B79" t="s">
        <v>225</v>
      </c>
      <c r="C79" t="s">
        <v>226</v>
      </c>
      <c r="D79" t="s">
        <v>322</v>
      </c>
      <c r="E79" t="s">
        <v>46</v>
      </c>
      <c r="F79" t="s">
        <v>93</v>
      </c>
      <c r="G79" t="s">
        <v>48</v>
      </c>
      <c r="H79" t="s">
        <v>49</v>
      </c>
      <c r="I79">
        <v>2</v>
      </c>
      <c r="J79">
        <v>18000</v>
      </c>
      <c r="K79">
        <v>32400</v>
      </c>
      <c r="L79">
        <v>0.1</v>
      </c>
      <c r="M79">
        <v>4320</v>
      </c>
      <c r="N79" t="s">
        <v>40</v>
      </c>
      <c r="O79" t="s">
        <v>26</v>
      </c>
      <c r="P79" t="s">
        <v>27</v>
      </c>
    </row>
    <row r="80" spans="1:16" x14ac:dyDescent="0.3">
      <c r="A80" t="s">
        <v>227</v>
      </c>
      <c r="B80" t="s">
        <v>128</v>
      </c>
      <c r="C80" t="s">
        <v>129</v>
      </c>
      <c r="D80" s="4">
        <v>45410</v>
      </c>
      <c r="E80" t="s">
        <v>21</v>
      </c>
      <c r="F80" t="s">
        <v>81</v>
      </c>
      <c r="G80" t="s">
        <v>309</v>
      </c>
      <c r="H80" t="s">
        <v>39</v>
      </c>
      <c r="I80">
        <v>2</v>
      </c>
      <c r="J80">
        <v>2800</v>
      </c>
      <c r="K80">
        <v>5040</v>
      </c>
      <c r="L80">
        <v>0.1</v>
      </c>
      <c r="M80">
        <v>1344</v>
      </c>
      <c r="N80" t="s">
        <v>76</v>
      </c>
      <c r="O80" t="s">
        <v>55</v>
      </c>
      <c r="P80" t="s">
        <v>27</v>
      </c>
    </row>
    <row r="81" spans="1:16" x14ac:dyDescent="0.3">
      <c r="A81" t="s">
        <v>228</v>
      </c>
      <c r="B81" t="s">
        <v>85</v>
      </c>
      <c r="C81" t="s">
        <v>86</v>
      </c>
      <c r="D81" s="5">
        <v>45372</v>
      </c>
      <c r="E81" t="s">
        <v>59</v>
      </c>
      <c r="F81" t="s">
        <v>183</v>
      </c>
      <c r="G81" t="s">
        <v>82</v>
      </c>
      <c r="H81" t="s">
        <v>83</v>
      </c>
      <c r="I81">
        <v>2</v>
      </c>
      <c r="J81">
        <v>1200</v>
      </c>
      <c r="K81">
        <v>2280</v>
      </c>
      <c r="L81">
        <v>0.05</v>
      </c>
      <c r="N81" t="s">
        <v>40</v>
      </c>
      <c r="O81" t="s">
        <v>67</v>
      </c>
      <c r="P81" t="s">
        <v>27</v>
      </c>
    </row>
    <row r="82" spans="1:16" x14ac:dyDescent="0.3">
      <c r="A82" t="s">
        <v>229</v>
      </c>
      <c r="B82" t="s">
        <v>230</v>
      </c>
      <c r="C82" t="s">
        <v>122</v>
      </c>
      <c r="D82" s="4">
        <v>45423</v>
      </c>
      <c r="E82" t="s">
        <v>21</v>
      </c>
      <c r="F82" t="s">
        <v>53</v>
      </c>
      <c r="G82" t="s">
        <v>82</v>
      </c>
      <c r="H82" t="s">
        <v>98</v>
      </c>
      <c r="I82">
        <v>2</v>
      </c>
      <c r="J82">
        <v>2400</v>
      </c>
      <c r="K82">
        <v>4800</v>
      </c>
      <c r="L82">
        <v>0</v>
      </c>
      <c r="M82">
        <v>2496</v>
      </c>
      <c r="N82" t="s">
        <v>54</v>
      </c>
      <c r="O82" t="s">
        <v>67</v>
      </c>
      <c r="P82" t="s">
        <v>91</v>
      </c>
    </row>
    <row r="83" spans="1:16" x14ac:dyDescent="0.3">
      <c r="A83" t="s">
        <v>231</v>
      </c>
      <c r="B83" t="s">
        <v>208</v>
      </c>
      <c r="C83" t="s">
        <v>209</v>
      </c>
      <c r="D83" s="4">
        <v>45572</v>
      </c>
      <c r="E83" t="s">
        <v>46</v>
      </c>
      <c r="F83" t="s">
        <v>105</v>
      </c>
      <c r="G83" t="s">
        <v>23</v>
      </c>
      <c r="H83" t="s">
        <v>39</v>
      </c>
      <c r="I83">
        <v>4</v>
      </c>
      <c r="J83">
        <v>2800</v>
      </c>
      <c r="K83">
        <v>10080</v>
      </c>
      <c r="L83">
        <v>0.1</v>
      </c>
      <c r="M83">
        <v>2688</v>
      </c>
      <c r="N83" t="s">
        <v>40</v>
      </c>
      <c r="O83" t="s">
        <v>55</v>
      </c>
      <c r="P83" t="s">
        <v>27</v>
      </c>
    </row>
    <row r="84" spans="1:16" x14ac:dyDescent="0.3">
      <c r="A84" t="s">
        <v>232</v>
      </c>
      <c r="B84" t="s">
        <v>64</v>
      </c>
      <c r="C84" t="s">
        <v>65</v>
      </c>
      <c r="D84" s="4">
        <v>45629</v>
      </c>
      <c r="E84" t="s">
        <v>46</v>
      </c>
      <c r="F84" t="s">
        <v>93</v>
      </c>
      <c r="G84" t="s">
        <v>310</v>
      </c>
      <c r="H84" t="s">
        <v>174</v>
      </c>
      <c r="I84">
        <v>2</v>
      </c>
      <c r="J84">
        <v>52000</v>
      </c>
      <c r="K84">
        <v>98800</v>
      </c>
      <c r="L84">
        <v>0.05</v>
      </c>
      <c r="M84">
        <v>13520</v>
      </c>
      <c r="N84" t="s">
        <v>54</v>
      </c>
      <c r="O84" t="s">
        <v>35</v>
      </c>
      <c r="P84" t="s">
        <v>27</v>
      </c>
    </row>
    <row r="85" spans="1:16" x14ac:dyDescent="0.3">
      <c r="A85" t="s">
        <v>233</v>
      </c>
      <c r="B85" t="s">
        <v>208</v>
      </c>
      <c r="C85" t="s">
        <v>209</v>
      </c>
      <c r="D85" s="5">
        <v>45385</v>
      </c>
      <c r="E85" t="s">
        <v>87</v>
      </c>
      <c r="F85" t="s">
        <v>137</v>
      </c>
      <c r="G85" t="s">
        <v>48</v>
      </c>
      <c r="H85" t="s">
        <v>174</v>
      </c>
      <c r="I85">
        <v>4</v>
      </c>
      <c r="J85">
        <v>52000</v>
      </c>
      <c r="K85">
        <v>208000</v>
      </c>
      <c r="L85">
        <v>0</v>
      </c>
      <c r="M85">
        <v>37440</v>
      </c>
      <c r="N85" t="s">
        <v>40</v>
      </c>
      <c r="O85" t="s">
        <v>41</v>
      </c>
      <c r="P85" t="s">
        <v>62</v>
      </c>
    </row>
    <row r="86" spans="1:16" x14ac:dyDescent="0.3">
      <c r="A86" t="s">
        <v>234</v>
      </c>
      <c r="B86" t="s">
        <v>111</v>
      </c>
      <c r="C86" t="s">
        <v>112</v>
      </c>
      <c r="D86" s="4">
        <v>45560</v>
      </c>
      <c r="E86" t="s">
        <v>59</v>
      </c>
      <c r="F86" t="s">
        <v>168</v>
      </c>
      <c r="G86" t="s">
        <v>312</v>
      </c>
      <c r="H86" t="s">
        <v>145</v>
      </c>
      <c r="I86">
        <v>5</v>
      </c>
      <c r="J86">
        <v>799</v>
      </c>
      <c r="K86">
        <v>3595.5</v>
      </c>
      <c r="L86">
        <v>0.1</v>
      </c>
      <c r="M86">
        <v>1797.75</v>
      </c>
      <c r="N86" t="s">
        <v>76</v>
      </c>
      <c r="O86" t="s">
        <v>67</v>
      </c>
      <c r="P86" t="s">
        <v>27</v>
      </c>
    </row>
    <row r="87" spans="1:16" x14ac:dyDescent="0.3">
      <c r="A87" t="s">
        <v>235</v>
      </c>
      <c r="B87" t="s">
        <v>102</v>
      </c>
      <c r="C87" t="s">
        <v>103</v>
      </c>
      <c r="D87" t="s">
        <v>323</v>
      </c>
      <c r="E87" t="s">
        <v>21</v>
      </c>
      <c r="F87" t="s">
        <v>22</v>
      </c>
      <c r="G87" t="s">
        <v>82</v>
      </c>
      <c r="H87" t="s">
        <v>98</v>
      </c>
      <c r="I87">
        <v>3</v>
      </c>
      <c r="J87">
        <v>2400</v>
      </c>
      <c r="K87">
        <v>6120</v>
      </c>
      <c r="L87">
        <v>0.15</v>
      </c>
      <c r="M87">
        <v>2664</v>
      </c>
      <c r="N87" t="s">
        <v>40</v>
      </c>
      <c r="O87" t="s">
        <v>26</v>
      </c>
      <c r="P87" t="s">
        <v>68</v>
      </c>
    </row>
    <row r="88" spans="1:16" x14ac:dyDescent="0.3">
      <c r="A88" t="s">
        <v>236</v>
      </c>
      <c r="B88" t="s">
        <v>147</v>
      </c>
      <c r="C88" t="s">
        <v>148</v>
      </c>
      <c r="D88" s="4">
        <v>45422</v>
      </c>
      <c r="E88" t="s">
        <v>46</v>
      </c>
      <c r="F88" t="s">
        <v>47</v>
      </c>
      <c r="G88" t="s">
        <v>48</v>
      </c>
      <c r="H88" t="s">
        <v>100</v>
      </c>
      <c r="I88">
        <v>5</v>
      </c>
      <c r="J88">
        <v>2500</v>
      </c>
      <c r="K88">
        <v>10625</v>
      </c>
      <c r="L88">
        <v>0.15</v>
      </c>
      <c r="N88" t="s">
        <v>54</v>
      </c>
      <c r="O88" t="s">
        <v>41</v>
      </c>
      <c r="P88" t="s">
        <v>68</v>
      </c>
    </row>
    <row r="89" spans="1:16" x14ac:dyDescent="0.3">
      <c r="A89" t="s">
        <v>237</v>
      </c>
      <c r="B89" t="s">
        <v>238</v>
      </c>
      <c r="C89" t="s">
        <v>239</v>
      </c>
      <c r="D89" s="5">
        <v>45407</v>
      </c>
      <c r="E89" t="s">
        <v>46</v>
      </c>
      <c r="F89" t="s">
        <v>47</v>
      </c>
      <c r="G89" t="s">
        <v>33</v>
      </c>
      <c r="H89" t="s">
        <v>61</v>
      </c>
      <c r="I89">
        <v>1</v>
      </c>
      <c r="J89">
        <v>1800</v>
      </c>
      <c r="K89">
        <v>1710</v>
      </c>
      <c r="L89">
        <v>0.05</v>
      </c>
      <c r="M89">
        <v>666</v>
      </c>
      <c r="N89" t="s">
        <v>90</v>
      </c>
      <c r="O89" t="s">
        <v>67</v>
      </c>
      <c r="P89" t="s">
        <v>27</v>
      </c>
    </row>
    <row r="90" spans="1:16" x14ac:dyDescent="0.3">
      <c r="A90" t="s">
        <v>240</v>
      </c>
      <c r="B90" t="s">
        <v>115</v>
      </c>
      <c r="C90" t="s">
        <v>116</v>
      </c>
      <c r="D90" s="4">
        <v>45461</v>
      </c>
      <c r="E90" t="s">
        <v>46</v>
      </c>
      <c r="F90" t="s">
        <v>93</v>
      </c>
      <c r="G90" t="s">
        <v>23</v>
      </c>
      <c r="H90" t="s">
        <v>24</v>
      </c>
      <c r="I90">
        <v>2</v>
      </c>
      <c r="J90">
        <v>1100</v>
      </c>
      <c r="K90">
        <v>1980</v>
      </c>
      <c r="L90">
        <v>0.1</v>
      </c>
      <c r="N90" t="s">
        <v>54</v>
      </c>
      <c r="O90" t="s">
        <v>67</v>
      </c>
      <c r="P90" t="s">
        <v>27</v>
      </c>
    </row>
    <row r="91" spans="1:16" x14ac:dyDescent="0.3">
      <c r="A91" t="s">
        <v>241</v>
      </c>
      <c r="B91" t="s">
        <v>111</v>
      </c>
      <c r="C91" t="s">
        <v>112</v>
      </c>
      <c r="D91" t="s">
        <v>324</v>
      </c>
      <c r="E91" t="s">
        <v>21</v>
      </c>
      <c r="F91" t="s">
        <v>32</v>
      </c>
      <c r="G91" t="s">
        <v>33</v>
      </c>
      <c r="H91" t="s">
        <v>34</v>
      </c>
      <c r="I91">
        <v>4</v>
      </c>
      <c r="J91">
        <v>3200</v>
      </c>
      <c r="K91">
        <v>10880</v>
      </c>
      <c r="L91">
        <v>0.15</v>
      </c>
      <c r="N91" t="s">
        <v>40</v>
      </c>
      <c r="O91" t="s">
        <v>35</v>
      </c>
      <c r="P91" t="s">
        <v>27</v>
      </c>
    </row>
    <row r="92" spans="1:16" x14ac:dyDescent="0.3">
      <c r="A92" t="s">
        <v>242</v>
      </c>
      <c r="B92" t="s">
        <v>29</v>
      </c>
      <c r="C92" t="s">
        <v>30</v>
      </c>
      <c r="D92" s="4">
        <v>45570</v>
      </c>
      <c r="E92" t="s">
        <v>46</v>
      </c>
      <c r="F92" t="s">
        <v>47</v>
      </c>
      <c r="G92" t="s">
        <v>23</v>
      </c>
      <c r="H92" t="s">
        <v>135</v>
      </c>
      <c r="I92">
        <v>1</v>
      </c>
      <c r="J92">
        <v>1900</v>
      </c>
      <c r="K92">
        <v>1710</v>
      </c>
      <c r="L92">
        <v>0.1</v>
      </c>
      <c r="M92">
        <v>570</v>
      </c>
      <c r="N92" t="s">
        <v>139</v>
      </c>
      <c r="O92" t="s">
        <v>26</v>
      </c>
      <c r="P92" t="s">
        <v>27</v>
      </c>
    </row>
    <row r="93" spans="1:16" x14ac:dyDescent="0.3">
      <c r="A93" t="s">
        <v>243</v>
      </c>
      <c r="B93" t="s">
        <v>220</v>
      </c>
      <c r="C93" t="s">
        <v>19</v>
      </c>
      <c r="D93" s="5">
        <v>45557</v>
      </c>
      <c r="E93" t="s">
        <v>21</v>
      </c>
      <c r="F93" t="s">
        <v>22</v>
      </c>
      <c r="G93" t="s">
        <v>23</v>
      </c>
      <c r="H93" t="s">
        <v>24</v>
      </c>
      <c r="I93">
        <v>4</v>
      </c>
      <c r="J93">
        <v>1100</v>
      </c>
      <c r="K93">
        <v>3960</v>
      </c>
      <c r="L93">
        <v>0.1</v>
      </c>
      <c r="M93">
        <v>1760</v>
      </c>
      <c r="N93" t="s">
        <v>76</v>
      </c>
      <c r="O93" t="s">
        <v>67</v>
      </c>
      <c r="P93" t="s">
        <v>27</v>
      </c>
    </row>
    <row r="94" spans="1:16" x14ac:dyDescent="0.3">
      <c r="A94" t="s">
        <v>244</v>
      </c>
      <c r="B94" t="s">
        <v>43</v>
      </c>
      <c r="C94" t="s">
        <v>44</v>
      </c>
      <c r="D94" s="4">
        <v>45482</v>
      </c>
      <c r="E94" t="s">
        <v>46</v>
      </c>
      <c r="F94" t="s">
        <v>47</v>
      </c>
      <c r="G94" t="s">
        <v>312</v>
      </c>
      <c r="H94" t="s">
        <v>145</v>
      </c>
      <c r="I94">
        <v>1</v>
      </c>
      <c r="J94">
        <v>799</v>
      </c>
      <c r="K94">
        <v>719.1</v>
      </c>
      <c r="L94">
        <v>0.1</v>
      </c>
      <c r="M94">
        <v>359.55</v>
      </c>
      <c r="N94" t="s">
        <v>90</v>
      </c>
      <c r="O94" t="s">
        <v>67</v>
      </c>
      <c r="P94" t="s">
        <v>27</v>
      </c>
    </row>
    <row r="95" spans="1:16" x14ac:dyDescent="0.3">
      <c r="A95" t="s">
        <v>245</v>
      </c>
      <c r="B95" t="s">
        <v>225</v>
      </c>
      <c r="C95" t="s">
        <v>226</v>
      </c>
      <c r="D95" t="s">
        <v>325</v>
      </c>
      <c r="E95" t="s">
        <v>59</v>
      </c>
      <c r="F95" t="s">
        <v>168</v>
      </c>
      <c r="G95" t="s">
        <v>310</v>
      </c>
      <c r="H95" t="s">
        <v>100</v>
      </c>
      <c r="I95">
        <v>2</v>
      </c>
      <c r="J95">
        <v>2500</v>
      </c>
      <c r="K95">
        <v>4500</v>
      </c>
      <c r="L95">
        <v>0.1</v>
      </c>
      <c r="M95">
        <v>1400</v>
      </c>
      <c r="N95" t="s">
        <v>90</v>
      </c>
      <c r="O95" t="s">
        <v>35</v>
      </c>
      <c r="P95" t="s">
        <v>27</v>
      </c>
    </row>
    <row r="96" spans="1:16" x14ac:dyDescent="0.3">
      <c r="A96" t="s">
        <v>246</v>
      </c>
      <c r="B96" t="s">
        <v>247</v>
      </c>
      <c r="C96" t="s">
        <v>248</v>
      </c>
      <c r="D96" s="4">
        <v>45384</v>
      </c>
      <c r="E96" t="s">
        <v>87</v>
      </c>
      <c r="F96" t="s">
        <v>149</v>
      </c>
      <c r="G96" t="s">
        <v>48</v>
      </c>
      <c r="H96" t="s">
        <v>100</v>
      </c>
      <c r="I96">
        <v>3</v>
      </c>
      <c r="J96">
        <v>2500</v>
      </c>
      <c r="K96">
        <v>7500</v>
      </c>
      <c r="L96">
        <v>0</v>
      </c>
      <c r="M96">
        <v>2850</v>
      </c>
      <c r="O96" t="s">
        <v>26</v>
      </c>
      <c r="P96" t="s">
        <v>91</v>
      </c>
    </row>
    <row r="97" spans="1:16" x14ac:dyDescent="0.3">
      <c r="A97" t="s">
        <v>249</v>
      </c>
      <c r="B97" t="s">
        <v>172</v>
      </c>
      <c r="C97" t="s">
        <v>173</v>
      </c>
      <c r="D97" s="5">
        <v>45380</v>
      </c>
      <c r="E97" t="s">
        <v>59</v>
      </c>
      <c r="F97" t="s">
        <v>60</v>
      </c>
      <c r="G97" t="s">
        <v>48</v>
      </c>
      <c r="H97" t="s">
        <v>49</v>
      </c>
      <c r="I97">
        <v>5</v>
      </c>
      <c r="J97">
        <v>18000</v>
      </c>
      <c r="K97">
        <v>81000</v>
      </c>
      <c r="L97">
        <v>0.1</v>
      </c>
      <c r="M97">
        <v>10800</v>
      </c>
      <c r="N97" t="s">
        <v>90</v>
      </c>
      <c r="O97" t="s">
        <v>67</v>
      </c>
      <c r="P97" t="s">
        <v>91</v>
      </c>
    </row>
    <row r="98" spans="1:16" x14ac:dyDescent="0.3">
      <c r="A98" t="s">
        <v>250</v>
      </c>
      <c r="B98" t="s">
        <v>111</v>
      </c>
      <c r="C98" t="s">
        <v>112</v>
      </c>
      <c r="D98" s="4">
        <v>45336</v>
      </c>
      <c r="E98" t="s">
        <v>87</v>
      </c>
      <c r="F98" t="s">
        <v>88</v>
      </c>
      <c r="G98" t="s">
        <v>308</v>
      </c>
      <c r="H98" t="s">
        <v>34</v>
      </c>
      <c r="I98">
        <v>3</v>
      </c>
      <c r="J98">
        <v>3200</v>
      </c>
      <c r="K98">
        <v>9600</v>
      </c>
      <c r="L98">
        <v>0</v>
      </c>
      <c r="M98">
        <v>3360</v>
      </c>
      <c r="N98" t="s">
        <v>25</v>
      </c>
      <c r="O98" t="s">
        <v>41</v>
      </c>
      <c r="P98" t="s">
        <v>27</v>
      </c>
    </row>
    <row r="99" spans="1:16" x14ac:dyDescent="0.3">
      <c r="A99" t="s">
        <v>251</v>
      </c>
      <c r="B99" t="s">
        <v>151</v>
      </c>
      <c r="C99" t="s">
        <v>152</v>
      </c>
      <c r="D99" t="s">
        <v>326</v>
      </c>
      <c r="E99" t="s">
        <v>21</v>
      </c>
      <c r="F99" t="s">
        <v>22</v>
      </c>
      <c r="G99" t="s">
        <v>309</v>
      </c>
      <c r="H99" t="s">
        <v>135</v>
      </c>
      <c r="I99">
        <v>5</v>
      </c>
      <c r="J99">
        <v>1900</v>
      </c>
      <c r="K99">
        <v>7600</v>
      </c>
      <c r="L99">
        <v>0.2</v>
      </c>
      <c r="M99">
        <v>1900</v>
      </c>
      <c r="N99" t="s">
        <v>40</v>
      </c>
      <c r="O99" t="s">
        <v>41</v>
      </c>
    </row>
    <row r="100" spans="1:16" x14ac:dyDescent="0.3">
      <c r="A100" t="s">
        <v>252</v>
      </c>
      <c r="B100" t="s">
        <v>125</v>
      </c>
      <c r="C100" t="s">
        <v>126</v>
      </c>
      <c r="D100" s="4">
        <v>45374</v>
      </c>
      <c r="E100" t="s">
        <v>46</v>
      </c>
      <c r="F100" t="s">
        <v>105</v>
      </c>
      <c r="G100" t="s">
        <v>33</v>
      </c>
      <c r="H100" t="s">
        <v>34</v>
      </c>
      <c r="I100">
        <v>4</v>
      </c>
      <c r="J100">
        <v>3200</v>
      </c>
      <c r="K100">
        <v>11520</v>
      </c>
      <c r="L100">
        <v>0.1</v>
      </c>
      <c r="M100">
        <v>3200</v>
      </c>
      <c r="N100" t="s">
        <v>54</v>
      </c>
      <c r="O100" t="s">
        <v>35</v>
      </c>
      <c r="P100" t="s">
        <v>68</v>
      </c>
    </row>
    <row r="101" spans="1:16" x14ac:dyDescent="0.3">
      <c r="A101" t="s">
        <v>253</v>
      </c>
      <c r="B101" t="s">
        <v>215</v>
      </c>
      <c r="C101" t="s">
        <v>216</v>
      </c>
      <c r="D101" s="5">
        <v>45646</v>
      </c>
      <c r="E101" t="s">
        <v>87</v>
      </c>
      <c r="F101" t="s">
        <v>137</v>
      </c>
      <c r="G101" t="s">
        <v>23</v>
      </c>
      <c r="H101" t="s">
        <v>135</v>
      </c>
      <c r="I101">
        <v>2</v>
      </c>
      <c r="J101">
        <v>1900</v>
      </c>
      <c r="K101">
        <v>3420</v>
      </c>
      <c r="L101">
        <v>0.1</v>
      </c>
      <c r="M101">
        <v>1140</v>
      </c>
      <c r="N101" t="s">
        <v>90</v>
      </c>
      <c r="O101" t="s">
        <v>41</v>
      </c>
      <c r="P101" t="s">
        <v>27</v>
      </c>
    </row>
    <row r="102" spans="1:16" x14ac:dyDescent="0.3">
      <c r="A102" t="s">
        <v>254</v>
      </c>
      <c r="B102" t="s">
        <v>163</v>
      </c>
      <c r="C102" t="s">
        <v>164</v>
      </c>
      <c r="D102" s="4">
        <v>45384</v>
      </c>
      <c r="E102" t="s">
        <v>59</v>
      </c>
      <c r="F102" t="s">
        <v>168</v>
      </c>
      <c r="G102" t="s">
        <v>82</v>
      </c>
      <c r="H102" t="s">
        <v>98</v>
      </c>
      <c r="I102">
        <v>1</v>
      </c>
      <c r="J102">
        <v>2400</v>
      </c>
      <c r="K102">
        <v>2160</v>
      </c>
      <c r="L102">
        <v>0.1</v>
      </c>
      <c r="M102">
        <v>1008</v>
      </c>
      <c r="N102" t="s">
        <v>139</v>
      </c>
      <c r="O102" t="s">
        <v>67</v>
      </c>
      <c r="P102" t="s">
        <v>27</v>
      </c>
    </row>
    <row r="103" spans="1:16" x14ac:dyDescent="0.3">
      <c r="A103" t="s">
        <v>255</v>
      </c>
      <c r="B103" t="s">
        <v>238</v>
      </c>
      <c r="C103" t="s">
        <v>239</v>
      </c>
      <c r="D103" s="4">
        <v>45358</v>
      </c>
      <c r="E103" t="s">
        <v>59</v>
      </c>
      <c r="F103" t="s">
        <v>168</v>
      </c>
      <c r="G103" t="s">
        <v>23</v>
      </c>
      <c r="H103" t="s">
        <v>39</v>
      </c>
      <c r="I103">
        <v>2</v>
      </c>
      <c r="J103">
        <v>2800</v>
      </c>
      <c r="K103">
        <v>5040</v>
      </c>
      <c r="L103">
        <v>0.1</v>
      </c>
      <c r="M103">
        <v>1344</v>
      </c>
      <c r="N103" t="s">
        <v>90</v>
      </c>
      <c r="O103" t="s">
        <v>67</v>
      </c>
      <c r="P103" t="s">
        <v>62</v>
      </c>
    </row>
    <row r="104" spans="1:16" x14ac:dyDescent="0.3">
      <c r="A104" t="s">
        <v>256</v>
      </c>
      <c r="B104" t="s">
        <v>194</v>
      </c>
      <c r="C104" t="s">
        <v>152</v>
      </c>
      <c r="D104" s="4">
        <v>45559</v>
      </c>
      <c r="E104" t="s">
        <v>59</v>
      </c>
      <c r="F104" t="s">
        <v>168</v>
      </c>
      <c r="G104" t="s">
        <v>48</v>
      </c>
      <c r="H104" t="s">
        <v>174</v>
      </c>
      <c r="I104">
        <v>2</v>
      </c>
      <c r="J104">
        <v>52000</v>
      </c>
      <c r="K104">
        <v>93600</v>
      </c>
      <c r="L104">
        <v>0.1</v>
      </c>
      <c r="M104">
        <v>8320</v>
      </c>
      <c r="N104" t="s">
        <v>40</v>
      </c>
      <c r="O104" t="s">
        <v>41</v>
      </c>
      <c r="P104" t="s">
        <v>27</v>
      </c>
    </row>
    <row r="105" spans="1:16" x14ac:dyDescent="0.3">
      <c r="A105" t="s">
        <v>257</v>
      </c>
      <c r="B105" t="s">
        <v>111</v>
      </c>
      <c r="C105" t="s">
        <v>112</v>
      </c>
      <c r="D105" s="5">
        <v>45502</v>
      </c>
      <c r="E105" t="s">
        <v>46</v>
      </c>
      <c r="F105" t="s">
        <v>105</v>
      </c>
      <c r="G105" t="s">
        <v>309</v>
      </c>
      <c r="H105" t="s">
        <v>39</v>
      </c>
      <c r="I105">
        <v>1</v>
      </c>
      <c r="J105">
        <v>2800</v>
      </c>
      <c r="K105">
        <v>2520</v>
      </c>
      <c r="L105">
        <v>0.1</v>
      </c>
      <c r="M105">
        <v>672</v>
      </c>
      <c r="N105" t="s">
        <v>139</v>
      </c>
      <c r="O105" t="s">
        <v>41</v>
      </c>
    </row>
    <row r="106" spans="1:16" x14ac:dyDescent="0.3">
      <c r="A106" t="s">
        <v>258</v>
      </c>
      <c r="B106" t="s">
        <v>29</v>
      </c>
      <c r="C106" t="s">
        <v>30</v>
      </c>
      <c r="D106" s="4">
        <v>45463</v>
      </c>
      <c r="E106" t="s">
        <v>59</v>
      </c>
      <c r="F106" t="s">
        <v>168</v>
      </c>
      <c r="G106" t="s">
        <v>74</v>
      </c>
      <c r="H106" t="s">
        <v>75</v>
      </c>
      <c r="I106">
        <v>4</v>
      </c>
      <c r="J106">
        <v>1500</v>
      </c>
      <c r="K106">
        <v>5700</v>
      </c>
      <c r="L106">
        <v>0.05</v>
      </c>
      <c r="M106">
        <v>2700</v>
      </c>
      <c r="N106" t="s">
        <v>139</v>
      </c>
      <c r="O106" t="s">
        <v>55</v>
      </c>
    </row>
    <row r="107" spans="1:16" x14ac:dyDescent="0.3">
      <c r="A107" t="s">
        <v>259</v>
      </c>
      <c r="B107" t="s">
        <v>260</v>
      </c>
      <c r="C107" t="s">
        <v>261</v>
      </c>
      <c r="D107" s="4">
        <v>45604</v>
      </c>
      <c r="E107" t="s">
        <v>59</v>
      </c>
      <c r="F107" t="s">
        <v>168</v>
      </c>
      <c r="G107" t="s">
        <v>309</v>
      </c>
      <c r="H107" t="s">
        <v>39</v>
      </c>
      <c r="I107">
        <v>1</v>
      </c>
      <c r="J107">
        <v>2800</v>
      </c>
      <c r="K107">
        <v>2660</v>
      </c>
      <c r="L107">
        <v>0.05</v>
      </c>
      <c r="M107">
        <v>812</v>
      </c>
      <c r="O107" t="s">
        <v>26</v>
      </c>
      <c r="P107" t="s">
        <v>27</v>
      </c>
    </row>
    <row r="108" spans="1:16" x14ac:dyDescent="0.3">
      <c r="A108" t="s">
        <v>262</v>
      </c>
      <c r="B108" t="s">
        <v>111</v>
      </c>
      <c r="C108" t="s">
        <v>112</v>
      </c>
      <c r="D108" s="4">
        <v>45644</v>
      </c>
      <c r="E108" t="s">
        <v>59</v>
      </c>
      <c r="F108" t="s">
        <v>60</v>
      </c>
      <c r="G108" t="s">
        <v>82</v>
      </c>
      <c r="H108" t="s">
        <v>89</v>
      </c>
      <c r="I108">
        <v>5</v>
      </c>
      <c r="J108">
        <v>650</v>
      </c>
      <c r="K108">
        <v>3087.5</v>
      </c>
      <c r="L108">
        <v>0.05</v>
      </c>
      <c r="M108">
        <v>1722.5</v>
      </c>
      <c r="N108" t="s">
        <v>139</v>
      </c>
      <c r="O108" t="s">
        <v>55</v>
      </c>
      <c r="P108" t="s">
        <v>27</v>
      </c>
    </row>
    <row r="109" spans="1:16" x14ac:dyDescent="0.3">
      <c r="A109" t="s">
        <v>263</v>
      </c>
      <c r="B109" t="s">
        <v>70</v>
      </c>
      <c r="C109" t="s">
        <v>71</v>
      </c>
      <c r="D109" s="5">
        <v>45429</v>
      </c>
      <c r="E109" t="s">
        <v>21</v>
      </c>
      <c r="F109" t="s">
        <v>53</v>
      </c>
      <c r="G109" t="s">
        <v>33</v>
      </c>
      <c r="H109" t="s">
        <v>61</v>
      </c>
      <c r="I109">
        <v>3</v>
      </c>
      <c r="J109">
        <v>1800</v>
      </c>
      <c r="K109">
        <v>4320</v>
      </c>
      <c r="L109">
        <v>0.2</v>
      </c>
      <c r="M109">
        <v>1188</v>
      </c>
      <c r="N109" t="s">
        <v>25</v>
      </c>
      <c r="O109" t="s">
        <v>26</v>
      </c>
      <c r="P109" t="s">
        <v>27</v>
      </c>
    </row>
    <row r="110" spans="1:16" x14ac:dyDescent="0.3">
      <c r="A110" t="s">
        <v>264</v>
      </c>
      <c r="B110" t="s">
        <v>64</v>
      </c>
      <c r="C110" t="s">
        <v>65</v>
      </c>
      <c r="D110" s="4">
        <v>45352</v>
      </c>
      <c r="E110" t="s">
        <v>21</v>
      </c>
      <c r="F110" t="s">
        <v>32</v>
      </c>
      <c r="G110" t="s">
        <v>74</v>
      </c>
      <c r="H110" t="s">
        <v>195</v>
      </c>
      <c r="I110">
        <v>4</v>
      </c>
      <c r="J110">
        <v>2200</v>
      </c>
      <c r="K110">
        <v>8360</v>
      </c>
      <c r="L110">
        <v>0.05</v>
      </c>
      <c r="M110">
        <v>3520</v>
      </c>
      <c r="N110" t="s">
        <v>40</v>
      </c>
      <c r="O110" t="s">
        <v>41</v>
      </c>
      <c r="P110" t="s">
        <v>62</v>
      </c>
    </row>
    <row r="111" spans="1:16" x14ac:dyDescent="0.3">
      <c r="A111" t="s">
        <v>265</v>
      </c>
      <c r="B111" t="s">
        <v>151</v>
      </c>
      <c r="C111" t="s">
        <v>152</v>
      </c>
      <c r="D111" t="s">
        <v>327</v>
      </c>
      <c r="E111" t="s">
        <v>59</v>
      </c>
      <c r="F111" t="s">
        <v>168</v>
      </c>
      <c r="G111" t="s">
        <v>23</v>
      </c>
      <c r="H111" t="s">
        <v>24</v>
      </c>
      <c r="I111">
        <v>1</v>
      </c>
      <c r="J111">
        <v>1100</v>
      </c>
      <c r="K111">
        <v>990</v>
      </c>
      <c r="L111">
        <v>0.1</v>
      </c>
      <c r="M111">
        <v>440</v>
      </c>
      <c r="N111" t="s">
        <v>139</v>
      </c>
      <c r="O111" t="s">
        <v>67</v>
      </c>
      <c r="P111" t="s">
        <v>91</v>
      </c>
    </row>
    <row r="112" spans="1:16" x14ac:dyDescent="0.3">
      <c r="A112" t="s">
        <v>266</v>
      </c>
      <c r="B112" t="s">
        <v>194</v>
      </c>
      <c r="C112" t="s">
        <v>152</v>
      </c>
      <c r="D112" s="4">
        <v>45559</v>
      </c>
      <c r="E112" t="s">
        <v>46</v>
      </c>
      <c r="F112" t="s">
        <v>47</v>
      </c>
      <c r="G112" t="s">
        <v>308</v>
      </c>
      <c r="H112" t="s">
        <v>138</v>
      </c>
      <c r="I112">
        <v>3</v>
      </c>
      <c r="J112">
        <v>950</v>
      </c>
      <c r="K112">
        <v>2280</v>
      </c>
      <c r="L112">
        <v>0.2</v>
      </c>
      <c r="N112" t="s">
        <v>139</v>
      </c>
      <c r="O112" t="s">
        <v>55</v>
      </c>
    </row>
    <row r="113" spans="1:16" x14ac:dyDescent="0.3">
      <c r="A113" t="s">
        <v>267</v>
      </c>
      <c r="B113" t="s">
        <v>70</v>
      </c>
      <c r="C113" t="s">
        <v>71</v>
      </c>
      <c r="D113" s="5">
        <v>45493</v>
      </c>
      <c r="E113" t="s">
        <v>59</v>
      </c>
      <c r="F113" t="s">
        <v>168</v>
      </c>
      <c r="G113" t="s">
        <v>33</v>
      </c>
      <c r="H113" t="s">
        <v>61</v>
      </c>
      <c r="I113">
        <v>2</v>
      </c>
      <c r="J113">
        <v>1800</v>
      </c>
      <c r="K113">
        <v>3240</v>
      </c>
      <c r="L113">
        <v>0.1</v>
      </c>
      <c r="M113">
        <v>1152</v>
      </c>
      <c r="N113" t="s">
        <v>25</v>
      </c>
      <c r="O113" t="s">
        <v>55</v>
      </c>
      <c r="P113" t="s">
        <v>27</v>
      </c>
    </row>
    <row r="114" spans="1:16" x14ac:dyDescent="0.3">
      <c r="A114" t="s">
        <v>268</v>
      </c>
      <c r="B114" t="s">
        <v>111</v>
      </c>
      <c r="C114" t="s">
        <v>112</v>
      </c>
      <c r="D114" s="4">
        <v>45611</v>
      </c>
      <c r="E114" t="s">
        <v>21</v>
      </c>
      <c r="F114" t="s">
        <v>22</v>
      </c>
      <c r="G114" t="s">
        <v>310</v>
      </c>
      <c r="H114" t="s">
        <v>174</v>
      </c>
      <c r="I114">
        <v>3</v>
      </c>
      <c r="J114">
        <v>52000</v>
      </c>
      <c r="K114">
        <v>132600</v>
      </c>
      <c r="L114">
        <v>0.15</v>
      </c>
      <c r="M114">
        <v>4680</v>
      </c>
      <c r="N114" t="s">
        <v>76</v>
      </c>
      <c r="O114" t="s">
        <v>35</v>
      </c>
      <c r="P114" t="s">
        <v>91</v>
      </c>
    </row>
    <row r="115" spans="1:16" x14ac:dyDescent="0.3">
      <c r="A115" t="s">
        <v>269</v>
      </c>
      <c r="B115" t="s">
        <v>220</v>
      </c>
      <c r="C115" t="s">
        <v>19</v>
      </c>
      <c r="D115" s="4">
        <v>45447</v>
      </c>
      <c r="E115" t="s">
        <v>87</v>
      </c>
      <c r="F115" t="s">
        <v>137</v>
      </c>
      <c r="G115" t="s">
        <v>33</v>
      </c>
      <c r="H115" t="s">
        <v>138</v>
      </c>
      <c r="I115">
        <v>5</v>
      </c>
      <c r="J115">
        <v>950</v>
      </c>
      <c r="K115">
        <v>3800</v>
      </c>
      <c r="L115">
        <v>0.2</v>
      </c>
      <c r="M115">
        <v>1330</v>
      </c>
      <c r="N115" t="s">
        <v>76</v>
      </c>
      <c r="O115" t="s">
        <v>35</v>
      </c>
      <c r="P115" t="s">
        <v>27</v>
      </c>
    </row>
    <row r="116" spans="1:16" x14ac:dyDescent="0.3">
      <c r="A116" t="s">
        <v>270</v>
      </c>
      <c r="B116" t="s">
        <v>230</v>
      </c>
      <c r="C116" t="s">
        <v>122</v>
      </c>
      <c r="D116" s="4">
        <v>45496</v>
      </c>
      <c r="E116" t="s">
        <v>87</v>
      </c>
      <c r="F116" t="s">
        <v>109</v>
      </c>
      <c r="G116" t="s">
        <v>74</v>
      </c>
      <c r="H116" t="s">
        <v>195</v>
      </c>
      <c r="I116">
        <v>4</v>
      </c>
      <c r="J116">
        <v>2200</v>
      </c>
      <c r="K116">
        <v>8800</v>
      </c>
      <c r="L116">
        <v>0</v>
      </c>
      <c r="M116">
        <v>3960</v>
      </c>
      <c r="N116" t="s">
        <v>90</v>
      </c>
      <c r="O116" t="s">
        <v>55</v>
      </c>
      <c r="P116" t="s">
        <v>91</v>
      </c>
    </row>
    <row r="117" spans="1:16" x14ac:dyDescent="0.3">
      <c r="A117" t="s">
        <v>271</v>
      </c>
      <c r="B117" t="s">
        <v>111</v>
      </c>
      <c r="C117" t="s">
        <v>112</v>
      </c>
      <c r="D117" s="5">
        <v>45632</v>
      </c>
      <c r="E117" t="s">
        <v>46</v>
      </c>
      <c r="F117" t="s">
        <v>47</v>
      </c>
      <c r="G117" t="s">
        <v>48</v>
      </c>
      <c r="H117" t="s">
        <v>174</v>
      </c>
      <c r="I117">
        <v>4</v>
      </c>
      <c r="J117">
        <v>52000</v>
      </c>
      <c r="K117">
        <v>187200</v>
      </c>
      <c r="L117">
        <v>0.1</v>
      </c>
      <c r="M117">
        <v>16640</v>
      </c>
      <c r="N117" t="s">
        <v>139</v>
      </c>
      <c r="O117" t="s">
        <v>35</v>
      </c>
      <c r="P117" t="s">
        <v>62</v>
      </c>
    </row>
    <row r="118" spans="1:16" x14ac:dyDescent="0.3">
      <c r="A118" t="s">
        <v>272</v>
      </c>
      <c r="B118" t="s">
        <v>85</v>
      </c>
      <c r="C118" t="s">
        <v>86</v>
      </c>
      <c r="D118" s="4">
        <v>45513</v>
      </c>
      <c r="E118" t="s">
        <v>87</v>
      </c>
      <c r="F118" t="s">
        <v>137</v>
      </c>
      <c r="G118" t="s">
        <v>82</v>
      </c>
      <c r="H118" t="s">
        <v>89</v>
      </c>
      <c r="I118">
        <v>3</v>
      </c>
      <c r="J118">
        <v>650</v>
      </c>
      <c r="K118">
        <v>1657.5</v>
      </c>
      <c r="L118">
        <v>0.15</v>
      </c>
      <c r="M118">
        <v>838.5</v>
      </c>
      <c r="N118" t="s">
        <v>90</v>
      </c>
      <c r="O118" t="s">
        <v>35</v>
      </c>
      <c r="P118" t="s">
        <v>27</v>
      </c>
    </row>
    <row r="119" spans="1:16" x14ac:dyDescent="0.3">
      <c r="A119" t="s">
        <v>273</v>
      </c>
      <c r="B119" t="s">
        <v>260</v>
      </c>
      <c r="C119" t="s">
        <v>261</v>
      </c>
      <c r="D119" s="4">
        <v>45422</v>
      </c>
      <c r="E119" t="s">
        <v>87</v>
      </c>
      <c r="F119" t="s">
        <v>137</v>
      </c>
      <c r="G119" t="s">
        <v>33</v>
      </c>
      <c r="H119" t="s">
        <v>61</v>
      </c>
      <c r="I119">
        <v>5</v>
      </c>
      <c r="J119">
        <v>1800</v>
      </c>
      <c r="K119">
        <v>9000</v>
      </c>
      <c r="L119">
        <v>0</v>
      </c>
      <c r="M119">
        <v>3780</v>
      </c>
      <c r="N119" t="s">
        <v>54</v>
      </c>
      <c r="O119" t="s">
        <v>35</v>
      </c>
      <c r="P119" t="s">
        <v>62</v>
      </c>
    </row>
    <row r="120" spans="1:16" x14ac:dyDescent="0.3">
      <c r="A120" t="s">
        <v>274</v>
      </c>
      <c r="B120" t="s">
        <v>125</v>
      </c>
      <c r="C120" t="s">
        <v>126</v>
      </c>
      <c r="D120" s="4">
        <v>45595</v>
      </c>
      <c r="E120" t="s">
        <v>87</v>
      </c>
      <c r="F120" t="s">
        <v>149</v>
      </c>
      <c r="G120" t="s">
        <v>33</v>
      </c>
      <c r="H120" t="s">
        <v>138</v>
      </c>
      <c r="I120">
        <v>5</v>
      </c>
      <c r="J120">
        <v>950</v>
      </c>
      <c r="K120">
        <v>4512.5</v>
      </c>
      <c r="L120">
        <v>0.05</v>
      </c>
      <c r="M120">
        <v>2042.5</v>
      </c>
      <c r="O120" t="s">
        <v>41</v>
      </c>
    </row>
    <row r="121" spans="1:16" x14ac:dyDescent="0.3">
      <c r="A121" t="s">
        <v>275</v>
      </c>
      <c r="B121" t="s">
        <v>107</v>
      </c>
      <c r="C121" t="s">
        <v>108</v>
      </c>
      <c r="D121" s="5">
        <v>45597</v>
      </c>
      <c r="E121" t="s">
        <v>87</v>
      </c>
      <c r="F121" t="s">
        <v>137</v>
      </c>
      <c r="G121" t="s">
        <v>312</v>
      </c>
      <c r="H121" t="s">
        <v>75</v>
      </c>
      <c r="I121">
        <v>4</v>
      </c>
      <c r="J121">
        <v>1500</v>
      </c>
      <c r="K121">
        <v>5400</v>
      </c>
      <c r="L121">
        <v>0.1</v>
      </c>
      <c r="N121" t="s">
        <v>25</v>
      </c>
      <c r="O121" t="s">
        <v>35</v>
      </c>
      <c r="P121" t="s">
        <v>68</v>
      </c>
    </row>
    <row r="122" spans="1:16" x14ac:dyDescent="0.3">
      <c r="A122" t="s">
        <v>276</v>
      </c>
      <c r="B122" t="s">
        <v>197</v>
      </c>
      <c r="C122" t="s">
        <v>198</v>
      </c>
      <c r="D122" s="4">
        <v>45590</v>
      </c>
      <c r="E122" t="s">
        <v>21</v>
      </c>
      <c r="F122" t="s">
        <v>22</v>
      </c>
      <c r="G122" t="s">
        <v>33</v>
      </c>
      <c r="H122" t="s">
        <v>61</v>
      </c>
      <c r="I122">
        <v>1</v>
      </c>
      <c r="J122">
        <v>1800</v>
      </c>
      <c r="K122">
        <v>1620</v>
      </c>
      <c r="L122">
        <v>0.1</v>
      </c>
      <c r="M122">
        <v>576</v>
      </c>
      <c r="N122" t="s">
        <v>40</v>
      </c>
      <c r="O122" t="s">
        <v>55</v>
      </c>
    </row>
    <row r="123" spans="1:16" x14ac:dyDescent="0.3">
      <c r="A123" t="s">
        <v>277</v>
      </c>
      <c r="B123" t="s">
        <v>163</v>
      </c>
      <c r="C123" t="s">
        <v>164</v>
      </c>
      <c r="D123" t="s">
        <v>328</v>
      </c>
      <c r="E123" t="s">
        <v>46</v>
      </c>
      <c r="F123" t="s">
        <v>93</v>
      </c>
      <c r="G123" t="s">
        <v>33</v>
      </c>
      <c r="H123" t="s">
        <v>61</v>
      </c>
      <c r="I123">
        <v>4</v>
      </c>
      <c r="J123">
        <v>1800</v>
      </c>
      <c r="K123">
        <v>6120</v>
      </c>
      <c r="L123">
        <v>0.15</v>
      </c>
      <c r="N123" t="s">
        <v>76</v>
      </c>
      <c r="O123" t="s">
        <v>26</v>
      </c>
      <c r="P123" t="s">
        <v>68</v>
      </c>
    </row>
    <row r="124" spans="1:16" x14ac:dyDescent="0.3">
      <c r="A124" t="s">
        <v>278</v>
      </c>
      <c r="B124" t="s">
        <v>121</v>
      </c>
      <c r="C124" t="s">
        <v>122</v>
      </c>
      <c r="D124" s="4">
        <v>45318</v>
      </c>
      <c r="E124" t="s">
        <v>21</v>
      </c>
      <c r="F124" t="s">
        <v>32</v>
      </c>
      <c r="G124" t="s">
        <v>82</v>
      </c>
      <c r="H124" t="s">
        <v>83</v>
      </c>
      <c r="I124">
        <v>2</v>
      </c>
      <c r="J124">
        <v>1200</v>
      </c>
      <c r="K124">
        <v>2280</v>
      </c>
      <c r="L124">
        <v>0.05</v>
      </c>
      <c r="M124">
        <v>1320</v>
      </c>
      <c r="N124" t="s">
        <v>40</v>
      </c>
      <c r="O124" t="s">
        <v>41</v>
      </c>
      <c r="P124" t="s">
        <v>91</v>
      </c>
    </row>
    <row r="125" spans="1:16" x14ac:dyDescent="0.3">
      <c r="A125" t="s">
        <v>279</v>
      </c>
      <c r="B125" t="s">
        <v>247</v>
      </c>
      <c r="C125" t="s">
        <v>248</v>
      </c>
      <c r="D125" s="5">
        <v>45430</v>
      </c>
      <c r="E125" t="s">
        <v>21</v>
      </c>
      <c r="F125" t="s">
        <v>53</v>
      </c>
      <c r="G125" t="s">
        <v>310</v>
      </c>
      <c r="H125" t="s">
        <v>49</v>
      </c>
      <c r="I125">
        <v>4</v>
      </c>
      <c r="J125">
        <v>18000</v>
      </c>
      <c r="K125">
        <v>72000</v>
      </c>
      <c r="L125">
        <v>0</v>
      </c>
      <c r="M125">
        <v>15840</v>
      </c>
      <c r="N125" t="s">
        <v>25</v>
      </c>
      <c r="O125" t="s">
        <v>41</v>
      </c>
      <c r="P125" t="s">
        <v>27</v>
      </c>
    </row>
    <row r="126" spans="1:16" x14ac:dyDescent="0.3">
      <c r="A126" t="s">
        <v>280</v>
      </c>
      <c r="B126" t="s">
        <v>172</v>
      </c>
      <c r="C126" t="s">
        <v>173</v>
      </c>
      <c r="D126" s="4">
        <v>45330</v>
      </c>
      <c r="E126" t="s">
        <v>46</v>
      </c>
      <c r="F126" t="s">
        <v>105</v>
      </c>
      <c r="G126" t="s">
        <v>48</v>
      </c>
      <c r="H126" t="s">
        <v>100</v>
      </c>
      <c r="I126">
        <v>3</v>
      </c>
      <c r="J126">
        <v>2500</v>
      </c>
      <c r="K126">
        <v>7500</v>
      </c>
      <c r="L126">
        <v>0</v>
      </c>
      <c r="M126">
        <v>2850</v>
      </c>
      <c r="N126" t="s">
        <v>76</v>
      </c>
      <c r="O126" t="s">
        <v>67</v>
      </c>
      <c r="P126" t="s">
        <v>27</v>
      </c>
    </row>
    <row r="127" spans="1:16" x14ac:dyDescent="0.3">
      <c r="A127" t="s">
        <v>281</v>
      </c>
      <c r="B127" t="s">
        <v>151</v>
      </c>
      <c r="C127" t="s">
        <v>152</v>
      </c>
      <c r="D127" t="s">
        <v>329</v>
      </c>
      <c r="E127" t="s">
        <v>59</v>
      </c>
      <c r="F127" t="s">
        <v>60</v>
      </c>
      <c r="G127" t="s">
        <v>74</v>
      </c>
      <c r="H127" t="s">
        <v>195</v>
      </c>
      <c r="I127">
        <v>4</v>
      </c>
      <c r="J127">
        <v>2200</v>
      </c>
      <c r="K127">
        <v>8800</v>
      </c>
      <c r="L127">
        <v>0</v>
      </c>
      <c r="M127">
        <v>3960</v>
      </c>
      <c r="N127" t="s">
        <v>54</v>
      </c>
      <c r="O127" t="s">
        <v>55</v>
      </c>
      <c r="P127" t="s">
        <v>27</v>
      </c>
    </row>
    <row r="128" spans="1:16" x14ac:dyDescent="0.3">
      <c r="A128" t="s">
        <v>282</v>
      </c>
      <c r="B128" t="s">
        <v>147</v>
      </c>
      <c r="C128" t="s">
        <v>148</v>
      </c>
      <c r="D128" s="4">
        <v>45305</v>
      </c>
      <c r="E128" t="s">
        <v>87</v>
      </c>
      <c r="F128" t="s">
        <v>149</v>
      </c>
      <c r="G128" t="s">
        <v>23</v>
      </c>
      <c r="H128" t="s">
        <v>24</v>
      </c>
      <c r="I128">
        <v>2</v>
      </c>
      <c r="J128">
        <v>1100</v>
      </c>
      <c r="K128">
        <v>2200</v>
      </c>
      <c r="L128">
        <v>0</v>
      </c>
      <c r="M128">
        <v>1100</v>
      </c>
      <c r="N128" t="s">
        <v>40</v>
      </c>
      <c r="O128" t="s">
        <v>55</v>
      </c>
      <c r="P128" t="s">
        <v>27</v>
      </c>
    </row>
    <row r="129" spans="1:16" x14ac:dyDescent="0.3">
      <c r="A129" t="s">
        <v>283</v>
      </c>
      <c r="B129" t="s">
        <v>284</v>
      </c>
      <c r="C129" t="s">
        <v>285</v>
      </c>
      <c r="D129" s="5">
        <v>45301</v>
      </c>
      <c r="E129" t="s">
        <v>59</v>
      </c>
      <c r="F129" t="s">
        <v>168</v>
      </c>
      <c r="G129" t="s">
        <v>74</v>
      </c>
      <c r="H129" t="s">
        <v>145</v>
      </c>
      <c r="I129">
        <v>1</v>
      </c>
      <c r="J129">
        <v>799</v>
      </c>
      <c r="K129">
        <v>639.20000000000005</v>
      </c>
      <c r="L129">
        <v>0.2</v>
      </c>
      <c r="M129">
        <v>279.64999999999998</v>
      </c>
      <c r="N129" t="s">
        <v>54</v>
      </c>
      <c r="O129" t="s">
        <v>55</v>
      </c>
      <c r="P129" t="s">
        <v>27</v>
      </c>
    </row>
    <row r="130" spans="1:16" x14ac:dyDescent="0.3">
      <c r="A130" t="s">
        <v>286</v>
      </c>
      <c r="B130" t="s">
        <v>225</v>
      </c>
      <c r="C130" t="s">
        <v>226</v>
      </c>
      <c r="D130" s="4">
        <v>45372</v>
      </c>
      <c r="E130" t="s">
        <v>21</v>
      </c>
      <c r="F130" t="s">
        <v>22</v>
      </c>
      <c r="G130" t="s">
        <v>82</v>
      </c>
      <c r="H130" t="s">
        <v>83</v>
      </c>
      <c r="I130">
        <v>1</v>
      </c>
      <c r="J130">
        <v>1200</v>
      </c>
      <c r="K130">
        <v>1080</v>
      </c>
      <c r="L130">
        <v>0.1</v>
      </c>
      <c r="M130">
        <v>600</v>
      </c>
      <c r="O130" t="s">
        <v>67</v>
      </c>
      <c r="P130" t="s">
        <v>27</v>
      </c>
    </row>
    <row r="131" spans="1:16" x14ac:dyDescent="0.3">
      <c r="A131" t="s">
        <v>287</v>
      </c>
      <c r="B131" t="s">
        <v>225</v>
      </c>
      <c r="C131" t="s">
        <v>226</v>
      </c>
      <c r="D131" s="4">
        <v>45413</v>
      </c>
      <c r="E131" t="s">
        <v>59</v>
      </c>
      <c r="F131" t="s">
        <v>183</v>
      </c>
      <c r="G131" t="s">
        <v>309</v>
      </c>
      <c r="H131" t="s">
        <v>39</v>
      </c>
      <c r="I131">
        <v>2</v>
      </c>
      <c r="J131">
        <v>2800</v>
      </c>
      <c r="K131">
        <v>4760</v>
      </c>
      <c r="L131">
        <v>0.15</v>
      </c>
      <c r="M131">
        <v>1064</v>
      </c>
      <c r="N131" t="s">
        <v>90</v>
      </c>
      <c r="O131" t="s">
        <v>26</v>
      </c>
      <c r="P131" t="s">
        <v>27</v>
      </c>
    </row>
    <row r="132" spans="1:16" x14ac:dyDescent="0.3">
      <c r="A132" t="s">
        <v>288</v>
      </c>
      <c r="B132" t="s">
        <v>128</v>
      </c>
      <c r="C132" t="s">
        <v>129</v>
      </c>
      <c r="D132" s="4">
        <v>45497</v>
      </c>
      <c r="E132" t="s">
        <v>21</v>
      </c>
      <c r="F132" t="s">
        <v>32</v>
      </c>
      <c r="G132" t="s">
        <v>33</v>
      </c>
      <c r="H132" t="s">
        <v>61</v>
      </c>
      <c r="I132">
        <v>4</v>
      </c>
      <c r="J132">
        <v>1800</v>
      </c>
      <c r="K132">
        <v>7200</v>
      </c>
      <c r="L132">
        <v>0</v>
      </c>
      <c r="N132" t="s">
        <v>54</v>
      </c>
      <c r="O132" t="s">
        <v>41</v>
      </c>
      <c r="P132" t="s">
        <v>27</v>
      </c>
    </row>
    <row r="133" spans="1:16" x14ac:dyDescent="0.3">
      <c r="A133" t="s">
        <v>289</v>
      </c>
      <c r="B133" t="s">
        <v>64</v>
      </c>
      <c r="C133" t="s">
        <v>65</v>
      </c>
      <c r="D133" s="5">
        <v>45487</v>
      </c>
      <c r="E133" t="s">
        <v>46</v>
      </c>
      <c r="F133" t="s">
        <v>105</v>
      </c>
      <c r="G133" t="s">
        <v>33</v>
      </c>
      <c r="H133" t="s">
        <v>61</v>
      </c>
      <c r="I133">
        <v>1</v>
      </c>
      <c r="J133">
        <v>1800</v>
      </c>
      <c r="K133">
        <v>1800</v>
      </c>
      <c r="L133">
        <v>0</v>
      </c>
      <c r="M133">
        <v>756</v>
      </c>
      <c r="N133" t="s">
        <v>54</v>
      </c>
      <c r="O133" t="s">
        <v>55</v>
      </c>
    </row>
    <row r="134" spans="1:16" x14ac:dyDescent="0.3">
      <c r="A134" t="s">
        <v>290</v>
      </c>
      <c r="B134" t="s">
        <v>215</v>
      </c>
      <c r="C134" t="s">
        <v>216</v>
      </c>
      <c r="D134" s="4">
        <v>45381</v>
      </c>
      <c r="E134" t="s">
        <v>21</v>
      </c>
      <c r="F134" t="s">
        <v>53</v>
      </c>
      <c r="G134" t="s">
        <v>33</v>
      </c>
      <c r="H134" t="s">
        <v>34</v>
      </c>
      <c r="I134">
        <v>4</v>
      </c>
      <c r="J134">
        <v>3200</v>
      </c>
      <c r="K134">
        <v>11520</v>
      </c>
      <c r="L134">
        <v>0.1</v>
      </c>
      <c r="M134">
        <v>3200</v>
      </c>
      <c r="N134" t="s">
        <v>54</v>
      </c>
      <c r="O134" t="s">
        <v>55</v>
      </c>
      <c r="P134" t="s">
        <v>27</v>
      </c>
    </row>
    <row r="135" spans="1:16" x14ac:dyDescent="0.3">
      <c r="A135" t="s">
        <v>291</v>
      </c>
      <c r="B135" t="s">
        <v>102</v>
      </c>
      <c r="C135" t="s">
        <v>103</v>
      </c>
      <c r="D135" t="s">
        <v>330</v>
      </c>
      <c r="E135" t="s">
        <v>46</v>
      </c>
      <c r="F135" t="s">
        <v>73</v>
      </c>
      <c r="G135" t="s">
        <v>33</v>
      </c>
      <c r="H135" t="s">
        <v>138</v>
      </c>
      <c r="I135">
        <v>4</v>
      </c>
      <c r="J135">
        <v>950</v>
      </c>
      <c r="K135">
        <v>3230</v>
      </c>
      <c r="L135">
        <v>0.15</v>
      </c>
      <c r="M135">
        <v>1254</v>
      </c>
      <c r="N135" t="s">
        <v>25</v>
      </c>
      <c r="O135" t="s">
        <v>35</v>
      </c>
      <c r="P135" t="s">
        <v>27</v>
      </c>
    </row>
    <row r="136" spans="1:16" x14ac:dyDescent="0.3">
      <c r="A136" t="s">
        <v>292</v>
      </c>
      <c r="B136" t="s">
        <v>151</v>
      </c>
      <c r="C136" t="s">
        <v>152</v>
      </c>
      <c r="D136" s="4">
        <v>45634</v>
      </c>
      <c r="E136" t="s">
        <v>21</v>
      </c>
      <c r="F136" t="s">
        <v>22</v>
      </c>
      <c r="G136" t="s">
        <v>33</v>
      </c>
      <c r="H136" t="s">
        <v>138</v>
      </c>
      <c r="I136">
        <v>5</v>
      </c>
      <c r="J136">
        <v>950</v>
      </c>
      <c r="K136">
        <v>4275</v>
      </c>
      <c r="L136">
        <v>0.1</v>
      </c>
      <c r="M136">
        <v>1805</v>
      </c>
      <c r="N136" t="s">
        <v>139</v>
      </c>
      <c r="O136" t="s">
        <v>35</v>
      </c>
      <c r="P136" t="s">
        <v>68</v>
      </c>
    </row>
    <row r="137" spans="1:16" x14ac:dyDescent="0.3">
      <c r="A137" t="s">
        <v>293</v>
      </c>
      <c r="B137" t="s">
        <v>260</v>
      </c>
      <c r="C137" t="s">
        <v>261</v>
      </c>
      <c r="D137" s="5">
        <v>45629</v>
      </c>
      <c r="E137" t="s">
        <v>59</v>
      </c>
      <c r="F137" t="s">
        <v>60</v>
      </c>
      <c r="G137" t="s">
        <v>23</v>
      </c>
      <c r="H137" t="s">
        <v>135</v>
      </c>
      <c r="I137">
        <v>3</v>
      </c>
      <c r="J137">
        <v>1900</v>
      </c>
      <c r="K137">
        <v>5130</v>
      </c>
      <c r="L137">
        <v>0.1</v>
      </c>
      <c r="M137">
        <v>1710</v>
      </c>
      <c r="N137" t="s">
        <v>139</v>
      </c>
      <c r="O137" t="s">
        <v>67</v>
      </c>
      <c r="P137" t="s">
        <v>27</v>
      </c>
    </row>
    <row r="138" spans="1:16" x14ac:dyDescent="0.3">
      <c r="A138" t="s">
        <v>294</v>
      </c>
      <c r="B138" t="s">
        <v>115</v>
      </c>
      <c r="C138" t="s">
        <v>116</v>
      </c>
      <c r="D138" s="4">
        <v>45544</v>
      </c>
      <c r="E138" t="s">
        <v>46</v>
      </c>
      <c r="F138" t="s">
        <v>47</v>
      </c>
      <c r="G138" t="s">
        <v>23</v>
      </c>
      <c r="H138" t="s">
        <v>135</v>
      </c>
      <c r="I138">
        <v>3</v>
      </c>
      <c r="J138">
        <v>1900</v>
      </c>
      <c r="K138">
        <v>5130</v>
      </c>
      <c r="L138">
        <v>0.1</v>
      </c>
      <c r="M138">
        <v>1710</v>
      </c>
      <c r="N138" t="s">
        <v>139</v>
      </c>
      <c r="O138" t="s">
        <v>26</v>
      </c>
      <c r="P138" t="s">
        <v>27</v>
      </c>
    </row>
    <row r="139" spans="1:16" x14ac:dyDescent="0.3">
      <c r="A139" t="s">
        <v>295</v>
      </c>
      <c r="B139" t="s">
        <v>107</v>
      </c>
      <c r="C139" t="s">
        <v>108</v>
      </c>
      <c r="D139" t="s">
        <v>331</v>
      </c>
      <c r="E139" t="s">
        <v>21</v>
      </c>
      <c r="F139" t="s">
        <v>53</v>
      </c>
      <c r="G139" t="s">
        <v>48</v>
      </c>
      <c r="H139" t="s">
        <v>174</v>
      </c>
      <c r="I139">
        <v>4</v>
      </c>
      <c r="J139">
        <v>52000</v>
      </c>
      <c r="K139">
        <v>176800</v>
      </c>
      <c r="L139">
        <v>0.15</v>
      </c>
      <c r="M139">
        <v>6240</v>
      </c>
      <c r="N139" t="s">
        <v>40</v>
      </c>
      <c r="O139" t="s">
        <v>41</v>
      </c>
      <c r="P139" t="s">
        <v>62</v>
      </c>
    </row>
    <row r="140" spans="1:16" x14ac:dyDescent="0.3">
      <c r="A140" t="s">
        <v>296</v>
      </c>
      <c r="B140" t="s">
        <v>163</v>
      </c>
      <c r="C140" t="s">
        <v>164</v>
      </c>
      <c r="D140" s="4">
        <v>45505</v>
      </c>
      <c r="E140" t="s">
        <v>21</v>
      </c>
      <c r="F140" t="s">
        <v>22</v>
      </c>
      <c r="G140" t="s">
        <v>74</v>
      </c>
      <c r="H140" t="s">
        <v>75</v>
      </c>
      <c r="I140">
        <v>4</v>
      </c>
      <c r="J140">
        <v>1500</v>
      </c>
      <c r="K140">
        <v>5700</v>
      </c>
      <c r="L140">
        <v>0.05</v>
      </c>
      <c r="M140">
        <v>2700</v>
      </c>
      <c r="O140" t="s">
        <v>41</v>
      </c>
      <c r="P140" t="s">
        <v>27</v>
      </c>
    </row>
    <row r="141" spans="1:16" x14ac:dyDescent="0.3">
      <c r="A141" t="s">
        <v>297</v>
      </c>
      <c r="B141" t="s">
        <v>154</v>
      </c>
      <c r="C141" t="s">
        <v>155</v>
      </c>
      <c r="D141" s="5">
        <v>45471</v>
      </c>
      <c r="E141" t="s">
        <v>46</v>
      </c>
      <c r="F141" t="s">
        <v>93</v>
      </c>
      <c r="G141" t="s">
        <v>82</v>
      </c>
      <c r="H141" t="s">
        <v>89</v>
      </c>
      <c r="I141">
        <v>1</v>
      </c>
      <c r="J141">
        <v>650</v>
      </c>
      <c r="K141">
        <v>650</v>
      </c>
      <c r="L141">
        <v>0</v>
      </c>
      <c r="M141">
        <v>377</v>
      </c>
      <c r="O141" t="s">
        <v>41</v>
      </c>
      <c r="P141" t="s">
        <v>27</v>
      </c>
    </row>
    <row r="142" spans="1:16" x14ac:dyDescent="0.3">
      <c r="A142" t="s">
        <v>298</v>
      </c>
      <c r="B142" t="s">
        <v>147</v>
      </c>
      <c r="C142" t="s">
        <v>148</v>
      </c>
      <c r="D142" s="4">
        <v>45364</v>
      </c>
      <c r="E142" t="s">
        <v>87</v>
      </c>
      <c r="F142" t="s">
        <v>149</v>
      </c>
      <c r="G142" t="s">
        <v>48</v>
      </c>
      <c r="H142" t="s">
        <v>174</v>
      </c>
      <c r="I142">
        <v>4</v>
      </c>
      <c r="J142">
        <v>52000</v>
      </c>
      <c r="K142">
        <v>176800</v>
      </c>
      <c r="L142">
        <v>0.15</v>
      </c>
      <c r="M142">
        <v>6240</v>
      </c>
      <c r="N142" t="s">
        <v>40</v>
      </c>
      <c r="O142" t="s">
        <v>26</v>
      </c>
    </row>
    <row r="143" spans="1:16" x14ac:dyDescent="0.3">
      <c r="A143" t="s">
        <v>299</v>
      </c>
      <c r="B143" t="s">
        <v>37</v>
      </c>
      <c r="C143" t="s">
        <v>38</v>
      </c>
      <c r="D143" t="s">
        <v>332</v>
      </c>
      <c r="E143" t="s">
        <v>59</v>
      </c>
      <c r="F143" t="s">
        <v>183</v>
      </c>
      <c r="G143" t="s">
        <v>308</v>
      </c>
      <c r="H143" t="s">
        <v>61</v>
      </c>
      <c r="I143">
        <v>3</v>
      </c>
      <c r="J143">
        <v>1800</v>
      </c>
      <c r="K143">
        <v>4590</v>
      </c>
      <c r="L143">
        <v>0.15</v>
      </c>
      <c r="M143">
        <v>1458</v>
      </c>
      <c r="N143" t="s">
        <v>90</v>
      </c>
      <c r="O143" t="s">
        <v>41</v>
      </c>
      <c r="P143" t="s">
        <v>91</v>
      </c>
    </row>
    <row r="144" spans="1:16" x14ac:dyDescent="0.3">
      <c r="A144" t="s">
        <v>300</v>
      </c>
      <c r="B144" t="s">
        <v>151</v>
      </c>
      <c r="C144" t="s">
        <v>152</v>
      </c>
      <c r="D144" s="4">
        <v>45396</v>
      </c>
      <c r="E144" t="s">
        <v>46</v>
      </c>
      <c r="F144" t="s">
        <v>93</v>
      </c>
      <c r="G144" t="s">
        <v>23</v>
      </c>
      <c r="H144" t="s">
        <v>24</v>
      </c>
      <c r="I144">
        <v>4</v>
      </c>
      <c r="J144">
        <v>1100</v>
      </c>
      <c r="K144">
        <v>3960</v>
      </c>
      <c r="L144">
        <v>0.1</v>
      </c>
      <c r="M144">
        <v>1760</v>
      </c>
      <c r="N144" t="s">
        <v>25</v>
      </c>
      <c r="O144" t="s">
        <v>67</v>
      </c>
      <c r="P144" t="s">
        <v>27</v>
      </c>
    </row>
    <row r="145" spans="1:16" x14ac:dyDescent="0.3">
      <c r="A145" t="s">
        <v>301</v>
      </c>
      <c r="B145" t="s">
        <v>208</v>
      </c>
      <c r="C145" t="s">
        <v>209</v>
      </c>
      <c r="D145" s="5">
        <v>45608</v>
      </c>
      <c r="E145" t="s">
        <v>87</v>
      </c>
      <c r="F145" t="s">
        <v>137</v>
      </c>
      <c r="G145" t="s">
        <v>23</v>
      </c>
      <c r="H145" t="s">
        <v>135</v>
      </c>
      <c r="I145">
        <v>4</v>
      </c>
      <c r="J145">
        <v>1900</v>
      </c>
      <c r="K145">
        <v>6840</v>
      </c>
      <c r="L145">
        <v>0.1</v>
      </c>
      <c r="M145">
        <v>2280</v>
      </c>
      <c r="N145" t="s">
        <v>76</v>
      </c>
      <c r="O145" t="s">
        <v>41</v>
      </c>
      <c r="P145" t="s">
        <v>27</v>
      </c>
    </row>
    <row r="146" spans="1:16" x14ac:dyDescent="0.3">
      <c r="A146" t="s">
        <v>302</v>
      </c>
      <c r="B146" t="s">
        <v>215</v>
      </c>
      <c r="C146" t="s">
        <v>216</v>
      </c>
      <c r="D146" s="4">
        <v>45555</v>
      </c>
      <c r="E146" t="s">
        <v>87</v>
      </c>
      <c r="F146" t="s">
        <v>88</v>
      </c>
      <c r="G146" t="s">
        <v>82</v>
      </c>
      <c r="H146" t="s">
        <v>98</v>
      </c>
      <c r="I146">
        <v>4</v>
      </c>
      <c r="J146">
        <v>2400</v>
      </c>
      <c r="K146">
        <v>8160</v>
      </c>
      <c r="L146">
        <v>0.15</v>
      </c>
      <c r="M146">
        <v>3552</v>
      </c>
      <c r="O146" t="s">
        <v>55</v>
      </c>
      <c r="P146" t="s">
        <v>68</v>
      </c>
    </row>
    <row r="147" spans="1:16" x14ac:dyDescent="0.3">
      <c r="A147" t="s">
        <v>303</v>
      </c>
      <c r="B147" t="s">
        <v>260</v>
      </c>
      <c r="C147" t="s">
        <v>261</v>
      </c>
      <c r="D147" s="4">
        <v>45512</v>
      </c>
      <c r="E147" t="s">
        <v>87</v>
      </c>
      <c r="F147" t="s">
        <v>88</v>
      </c>
      <c r="G147" t="s">
        <v>309</v>
      </c>
      <c r="H147" t="s">
        <v>24</v>
      </c>
      <c r="I147">
        <v>4</v>
      </c>
      <c r="J147">
        <v>1100</v>
      </c>
      <c r="K147">
        <v>3520</v>
      </c>
      <c r="L147">
        <v>0.2</v>
      </c>
      <c r="M147">
        <v>1320</v>
      </c>
      <c r="N147" t="s">
        <v>54</v>
      </c>
      <c r="O147" t="s">
        <v>41</v>
      </c>
      <c r="P147" t="s">
        <v>27</v>
      </c>
    </row>
    <row r="148" spans="1:16" x14ac:dyDescent="0.3">
      <c r="A148" t="s">
        <v>304</v>
      </c>
      <c r="B148" t="s">
        <v>57</v>
      </c>
      <c r="C148" t="s">
        <v>58</v>
      </c>
      <c r="D148" s="4">
        <v>45532</v>
      </c>
      <c r="E148" t="s">
        <v>59</v>
      </c>
      <c r="F148" t="s">
        <v>60</v>
      </c>
      <c r="G148" t="s">
        <v>33</v>
      </c>
      <c r="H148" t="s">
        <v>61</v>
      </c>
      <c r="I148">
        <v>5</v>
      </c>
      <c r="J148">
        <v>1800</v>
      </c>
      <c r="K148">
        <v>9000</v>
      </c>
      <c r="L148">
        <v>0</v>
      </c>
      <c r="M148">
        <v>3780</v>
      </c>
      <c r="N148" t="s">
        <v>76</v>
      </c>
      <c r="O148" t="s">
        <v>35</v>
      </c>
      <c r="P148" t="s">
        <v>27</v>
      </c>
    </row>
    <row r="149" spans="1:16" x14ac:dyDescent="0.3">
      <c r="A149" t="s">
        <v>305</v>
      </c>
      <c r="B149" t="s">
        <v>151</v>
      </c>
      <c r="C149" t="s">
        <v>152</v>
      </c>
      <c r="D149" s="5">
        <v>45491</v>
      </c>
      <c r="E149" t="s">
        <v>87</v>
      </c>
      <c r="F149" t="s">
        <v>109</v>
      </c>
      <c r="G149" t="s">
        <v>23</v>
      </c>
      <c r="H149" t="s">
        <v>39</v>
      </c>
      <c r="I149">
        <v>2</v>
      </c>
      <c r="J149">
        <v>2800</v>
      </c>
      <c r="K149">
        <v>4480</v>
      </c>
      <c r="L149">
        <v>0.2</v>
      </c>
      <c r="M149">
        <v>784</v>
      </c>
      <c r="N149" t="s">
        <v>54</v>
      </c>
      <c r="O149" t="s">
        <v>35</v>
      </c>
      <c r="P149" t="s">
        <v>27</v>
      </c>
    </row>
    <row r="150" spans="1:16" x14ac:dyDescent="0.3">
      <c r="A150" t="s">
        <v>306</v>
      </c>
      <c r="B150" t="s">
        <v>151</v>
      </c>
      <c r="C150" t="s">
        <v>152</v>
      </c>
      <c r="D150" s="4">
        <v>45636</v>
      </c>
      <c r="E150" t="s">
        <v>59</v>
      </c>
      <c r="F150" t="s">
        <v>60</v>
      </c>
      <c r="G150" t="s">
        <v>82</v>
      </c>
      <c r="H150" t="s">
        <v>89</v>
      </c>
      <c r="I150">
        <v>4</v>
      </c>
      <c r="J150">
        <v>650</v>
      </c>
      <c r="K150">
        <v>2080</v>
      </c>
      <c r="L150">
        <v>0.2</v>
      </c>
      <c r="M150">
        <v>988</v>
      </c>
      <c r="N150" t="s">
        <v>54</v>
      </c>
      <c r="O150" t="s">
        <v>26</v>
      </c>
      <c r="P150" t="s">
        <v>91</v>
      </c>
    </row>
    <row r="151" spans="1:16" x14ac:dyDescent="0.3">
      <c r="A151" t="s">
        <v>307</v>
      </c>
      <c r="B151" t="s">
        <v>29</v>
      </c>
      <c r="C151" t="s">
        <v>30</v>
      </c>
      <c r="D151" t="s">
        <v>333</v>
      </c>
      <c r="E151" t="s">
        <v>59</v>
      </c>
      <c r="F151" t="s">
        <v>183</v>
      </c>
      <c r="G151" t="s">
        <v>74</v>
      </c>
      <c r="H151" t="s">
        <v>145</v>
      </c>
      <c r="I151">
        <v>5</v>
      </c>
      <c r="J151">
        <v>799</v>
      </c>
      <c r="K151">
        <v>3196</v>
      </c>
      <c r="L151">
        <v>0.2</v>
      </c>
      <c r="M151">
        <v>1398.25</v>
      </c>
      <c r="N151" t="s">
        <v>40</v>
      </c>
      <c r="O151" t="s">
        <v>35</v>
      </c>
      <c r="P151" t="s">
        <v>27</v>
      </c>
    </row>
    <row r="152" spans="1:16" x14ac:dyDescent="0.3">
      <c r="A152" t="s">
        <v>162</v>
      </c>
      <c r="B152" t="s">
        <v>163</v>
      </c>
      <c r="C152" t="s">
        <v>164</v>
      </c>
      <c r="D152" s="4">
        <v>45429</v>
      </c>
      <c r="E152" t="s">
        <v>87</v>
      </c>
      <c r="F152" t="s">
        <v>109</v>
      </c>
      <c r="G152" t="s">
        <v>23</v>
      </c>
      <c r="H152" t="s">
        <v>135</v>
      </c>
      <c r="I152">
        <v>3</v>
      </c>
      <c r="J152">
        <v>1900</v>
      </c>
      <c r="K152">
        <v>5700</v>
      </c>
      <c r="L152">
        <v>0</v>
      </c>
      <c r="M152">
        <v>2280</v>
      </c>
      <c r="N152" t="s">
        <v>139</v>
      </c>
      <c r="O152" t="s">
        <v>41</v>
      </c>
      <c r="P152" t="s">
        <v>27</v>
      </c>
    </row>
    <row r="153" spans="1:16" x14ac:dyDescent="0.3">
      <c r="A153" t="s">
        <v>265</v>
      </c>
      <c r="B153" t="s">
        <v>151</v>
      </c>
      <c r="C153" t="s">
        <v>152</v>
      </c>
      <c r="D153" t="s">
        <v>327</v>
      </c>
      <c r="E153" t="s">
        <v>59</v>
      </c>
      <c r="F153" t="s">
        <v>168</v>
      </c>
      <c r="G153" t="s">
        <v>23</v>
      </c>
      <c r="H153" t="s">
        <v>24</v>
      </c>
      <c r="I153">
        <v>1</v>
      </c>
      <c r="J153">
        <v>1100</v>
      </c>
      <c r="K153">
        <v>990</v>
      </c>
      <c r="L153">
        <v>0.1</v>
      </c>
      <c r="M153">
        <v>440</v>
      </c>
      <c r="N153" t="s">
        <v>139</v>
      </c>
      <c r="O153" t="s">
        <v>67</v>
      </c>
      <c r="P153" t="s">
        <v>91</v>
      </c>
    </row>
    <row r="154" spans="1:16" x14ac:dyDescent="0.3">
      <c r="A154" t="s">
        <v>146</v>
      </c>
      <c r="B154" t="s">
        <v>147</v>
      </c>
      <c r="C154" t="s">
        <v>148</v>
      </c>
      <c r="D154" s="4">
        <v>45489</v>
      </c>
      <c r="E154" t="s">
        <v>87</v>
      </c>
      <c r="F154" t="s">
        <v>149</v>
      </c>
      <c r="G154" t="s">
        <v>48</v>
      </c>
      <c r="H154" t="s">
        <v>49</v>
      </c>
      <c r="I154">
        <v>5</v>
      </c>
      <c r="J154">
        <v>18000</v>
      </c>
      <c r="K154">
        <v>76500</v>
      </c>
      <c r="L154">
        <v>0.15</v>
      </c>
      <c r="M154">
        <v>6300</v>
      </c>
      <c r="O154" t="s">
        <v>26</v>
      </c>
      <c r="P154" t="s">
        <v>62</v>
      </c>
    </row>
    <row r="155" spans="1:16" x14ac:dyDescent="0.3">
      <c r="A155" t="s">
        <v>249</v>
      </c>
      <c r="B155" t="s">
        <v>172</v>
      </c>
      <c r="C155" t="s">
        <v>173</v>
      </c>
      <c r="D155" s="5">
        <v>45380</v>
      </c>
      <c r="E155" t="s">
        <v>59</v>
      </c>
      <c r="F155" t="s">
        <v>60</v>
      </c>
      <c r="G155" t="s">
        <v>48</v>
      </c>
      <c r="H155" t="s">
        <v>49</v>
      </c>
      <c r="I155">
        <v>5</v>
      </c>
      <c r="J155">
        <v>18000</v>
      </c>
      <c r="K155">
        <v>81000</v>
      </c>
      <c r="L155">
        <v>0.1</v>
      </c>
      <c r="M155">
        <v>10800</v>
      </c>
      <c r="N155" t="s">
        <v>90</v>
      </c>
      <c r="O155" t="s">
        <v>67</v>
      </c>
      <c r="P155" t="s">
        <v>91</v>
      </c>
    </row>
    <row r="156" spans="1:16" x14ac:dyDescent="0.3">
      <c r="A156" t="s">
        <v>212</v>
      </c>
      <c r="B156" t="s">
        <v>107</v>
      </c>
      <c r="C156" t="s">
        <v>108</v>
      </c>
      <c r="D156" s="4">
        <v>45545</v>
      </c>
      <c r="E156" t="s">
        <v>59</v>
      </c>
      <c r="F156" t="s">
        <v>60</v>
      </c>
      <c r="G156" t="s">
        <v>33</v>
      </c>
      <c r="H156" t="s">
        <v>138</v>
      </c>
      <c r="I156">
        <v>4</v>
      </c>
      <c r="J156">
        <v>950</v>
      </c>
      <c r="K156">
        <v>3800</v>
      </c>
      <c r="L156">
        <v>0</v>
      </c>
      <c r="N156" t="s">
        <v>139</v>
      </c>
      <c r="O156" t="s">
        <v>35</v>
      </c>
      <c r="P156" t="s">
        <v>27</v>
      </c>
    </row>
    <row r="157" spans="1:16" x14ac:dyDescent="0.3">
      <c r="A157" t="s">
        <v>334</v>
      </c>
      <c r="B157" t="s">
        <v>43</v>
      </c>
      <c r="C157" t="s">
        <v>44</v>
      </c>
      <c r="D157" s="5">
        <v>45610</v>
      </c>
      <c r="E157" t="s">
        <v>46</v>
      </c>
      <c r="F157" t="s">
        <v>47</v>
      </c>
      <c r="G157" t="s">
        <v>310</v>
      </c>
      <c r="H157" t="s">
        <v>49</v>
      </c>
      <c r="I157">
        <v>9999</v>
      </c>
      <c r="J157">
        <v>18000</v>
      </c>
      <c r="K157">
        <v>54000</v>
      </c>
      <c r="L157">
        <v>0</v>
      </c>
      <c r="M157">
        <v>11880</v>
      </c>
      <c r="O157" t="s">
        <v>41</v>
      </c>
      <c r="P157" t="s">
        <v>27</v>
      </c>
    </row>
    <row r="158" spans="1:16" x14ac:dyDescent="0.3">
      <c r="A158" t="s">
        <v>335</v>
      </c>
      <c r="B158" t="s">
        <v>70</v>
      </c>
      <c r="C158" t="s">
        <v>71</v>
      </c>
      <c r="D158" s="5">
        <v>45652</v>
      </c>
      <c r="E158" t="s">
        <v>46</v>
      </c>
      <c r="F158" t="s">
        <v>73</v>
      </c>
      <c r="G158" t="s">
        <v>312</v>
      </c>
      <c r="H158" t="s">
        <v>75</v>
      </c>
      <c r="I158">
        <v>4</v>
      </c>
      <c r="J158">
        <v>-500</v>
      </c>
      <c r="K158">
        <v>-500</v>
      </c>
      <c r="L158">
        <v>0.1</v>
      </c>
      <c r="M158">
        <v>2400</v>
      </c>
      <c r="N158" t="s">
        <v>76</v>
      </c>
      <c r="O158" t="s">
        <v>67</v>
      </c>
      <c r="P158"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4708-CE5C-4621-8DE1-0C7BEADB4440}">
  <dimension ref="A1:R14"/>
  <sheetViews>
    <sheetView workbookViewId="0"/>
  </sheetViews>
  <sheetFormatPr defaultRowHeight="14.4" x14ac:dyDescent="0.3"/>
  <cols>
    <col min="1" max="1" width="12.5546875" bestFit="1" customWidth="1"/>
    <col min="2" max="2" width="11" bestFit="1" customWidth="1"/>
    <col min="5" max="5" width="14.21875" bestFit="1" customWidth="1"/>
    <col min="6" max="6" width="11" bestFit="1" customWidth="1"/>
    <col min="9" max="9" width="12.5546875" bestFit="1" customWidth="1"/>
    <col min="10" max="10" width="11" bestFit="1" customWidth="1"/>
    <col min="13" max="13" width="12.5546875" bestFit="1" customWidth="1"/>
    <col min="14" max="14" width="6.5546875" bestFit="1" customWidth="1"/>
    <col min="17" max="17" width="12.5546875" bestFit="1" customWidth="1"/>
    <col min="18" max="18" width="11" bestFit="1" customWidth="1"/>
  </cols>
  <sheetData>
    <row r="1" spans="1:18" x14ac:dyDescent="0.3">
      <c r="A1" s="6" t="s">
        <v>336</v>
      </c>
      <c r="B1" t="s">
        <v>338</v>
      </c>
      <c r="E1" s="6" t="s">
        <v>336</v>
      </c>
      <c r="F1" t="s">
        <v>338</v>
      </c>
      <c r="I1" s="6" t="s">
        <v>336</v>
      </c>
      <c r="J1" t="s">
        <v>338</v>
      </c>
      <c r="M1" s="6" t="s">
        <v>336</v>
      </c>
      <c r="N1" t="s">
        <v>339</v>
      </c>
      <c r="Q1" s="6" t="s">
        <v>336</v>
      </c>
      <c r="R1" t="s">
        <v>338</v>
      </c>
    </row>
    <row r="2" spans="1:18" x14ac:dyDescent="0.3">
      <c r="A2" s="7" t="s">
        <v>21</v>
      </c>
      <c r="B2" s="8">
        <v>518968.1</v>
      </c>
      <c r="E2" s="7" t="s">
        <v>82</v>
      </c>
      <c r="F2" s="8">
        <v>94750</v>
      </c>
      <c r="I2" s="7" t="s">
        <v>90</v>
      </c>
      <c r="J2" s="8">
        <v>393221.6</v>
      </c>
      <c r="M2" s="7" t="s">
        <v>68</v>
      </c>
      <c r="N2" s="8">
        <v>15</v>
      </c>
      <c r="Q2" s="7" t="s">
        <v>118</v>
      </c>
      <c r="R2" s="8">
        <v>37059.199999999997</v>
      </c>
    </row>
    <row r="3" spans="1:18" x14ac:dyDescent="0.3">
      <c r="A3" s="7" t="s">
        <v>59</v>
      </c>
      <c r="B3" s="8">
        <v>459974.2</v>
      </c>
      <c r="E3" s="7" t="s">
        <v>48</v>
      </c>
      <c r="F3" s="8">
        <v>2016300</v>
      </c>
      <c r="I3" s="7" t="s">
        <v>40</v>
      </c>
      <c r="J3" s="8">
        <v>996576.55</v>
      </c>
      <c r="M3" s="7" t="s">
        <v>27</v>
      </c>
      <c r="N3" s="8">
        <v>95</v>
      </c>
      <c r="Q3" s="7" t="s">
        <v>130</v>
      </c>
      <c r="R3" s="8">
        <v>142290</v>
      </c>
    </row>
    <row r="4" spans="1:18" x14ac:dyDescent="0.3">
      <c r="A4" s="7" t="s">
        <v>46</v>
      </c>
      <c r="B4" s="8">
        <v>706767.39999999991</v>
      </c>
      <c r="E4" s="7" t="s">
        <v>74</v>
      </c>
      <c r="F4" s="8">
        <v>102417.74999999999</v>
      </c>
      <c r="I4" s="7" t="s">
        <v>76</v>
      </c>
      <c r="J4" s="8">
        <v>243318.39999999999</v>
      </c>
      <c r="M4" s="7" t="s">
        <v>62</v>
      </c>
      <c r="N4" s="8">
        <v>16</v>
      </c>
      <c r="Q4" s="7" t="s">
        <v>160</v>
      </c>
      <c r="R4" s="8">
        <v>424020</v>
      </c>
    </row>
    <row r="5" spans="1:18" x14ac:dyDescent="0.3">
      <c r="A5" s="7" t="s">
        <v>87</v>
      </c>
      <c r="B5" s="8">
        <v>892165.55</v>
      </c>
      <c r="E5" s="7" t="s">
        <v>33</v>
      </c>
      <c r="F5" s="8">
        <v>183432.5</v>
      </c>
      <c r="I5" s="7" t="s">
        <v>25</v>
      </c>
      <c r="J5" s="8">
        <v>409436</v>
      </c>
      <c r="M5" s="7" t="s">
        <v>91</v>
      </c>
      <c r="N5" s="8">
        <v>24</v>
      </c>
      <c r="Q5" s="7" t="s">
        <v>97</v>
      </c>
      <c r="R5" s="8">
        <v>263810</v>
      </c>
    </row>
    <row r="6" spans="1:18" x14ac:dyDescent="0.3">
      <c r="A6" s="7" t="s">
        <v>337</v>
      </c>
      <c r="B6" s="8">
        <v>2577875.25</v>
      </c>
      <c r="E6" s="7" t="s">
        <v>23</v>
      </c>
      <c r="F6" s="8">
        <v>180975</v>
      </c>
      <c r="I6" s="7" t="s">
        <v>139</v>
      </c>
      <c r="J6" s="8">
        <v>265323.5</v>
      </c>
      <c r="M6" s="7" t="s">
        <v>337</v>
      </c>
      <c r="N6" s="8">
        <v>150</v>
      </c>
      <c r="Q6" s="7" t="s">
        <v>113</v>
      </c>
      <c r="R6" s="8">
        <v>266286</v>
      </c>
    </row>
    <row r="7" spans="1:18" x14ac:dyDescent="0.3">
      <c r="E7" s="7" t="s">
        <v>337</v>
      </c>
      <c r="F7" s="8">
        <v>2577875.25</v>
      </c>
      <c r="I7" s="7" t="s">
        <v>54</v>
      </c>
      <c r="J7" s="8">
        <v>269999.2</v>
      </c>
      <c r="Q7" s="7" t="s">
        <v>80</v>
      </c>
      <c r="R7" s="8">
        <v>79345.55</v>
      </c>
    </row>
    <row r="8" spans="1:18" x14ac:dyDescent="0.3">
      <c r="I8" s="7" t="s">
        <v>337</v>
      </c>
      <c r="J8" s="8">
        <v>2577875.25</v>
      </c>
      <c r="Q8" s="7" t="s">
        <v>20</v>
      </c>
      <c r="R8" s="8">
        <v>325314.09999999998</v>
      </c>
    </row>
    <row r="9" spans="1:18" x14ac:dyDescent="0.3">
      <c r="Q9" s="7" t="s">
        <v>104</v>
      </c>
      <c r="R9" s="8">
        <v>222622.9</v>
      </c>
    </row>
    <row r="10" spans="1:18" x14ac:dyDescent="0.3">
      <c r="Q10" s="7" t="s">
        <v>66</v>
      </c>
      <c r="R10" s="8">
        <v>159541.5</v>
      </c>
    </row>
    <row r="11" spans="1:18" x14ac:dyDescent="0.3">
      <c r="Q11" s="7" t="s">
        <v>31</v>
      </c>
      <c r="R11" s="8">
        <v>74948.5</v>
      </c>
    </row>
    <row r="12" spans="1:18" x14ac:dyDescent="0.3">
      <c r="Q12" s="7" t="s">
        <v>45</v>
      </c>
      <c r="R12" s="8">
        <v>246335</v>
      </c>
    </row>
    <row r="13" spans="1:18" x14ac:dyDescent="0.3">
      <c r="Q13" s="7" t="s">
        <v>72</v>
      </c>
      <c r="R13" s="8">
        <v>336302.5</v>
      </c>
    </row>
    <row r="14" spans="1:18" x14ac:dyDescent="0.3">
      <c r="Q14" s="7" t="s">
        <v>337</v>
      </c>
      <c r="R14" s="8">
        <v>2577875.25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E65B3-9F0B-41C3-BCDA-D97E3330C9E9}">
  <dimension ref="A1:B18"/>
  <sheetViews>
    <sheetView workbookViewId="0"/>
  </sheetViews>
  <sheetFormatPr defaultRowHeight="14.4" x14ac:dyDescent="0.3"/>
  <cols>
    <col min="1" max="1" width="24.77734375" customWidth="1"/>
    <col min="2" max="2" width="14.77734375" customWidth="1"/>
  </cols>
  <sheetData>
    <row r="1" spans="1:2" x14ac:dyDescent="0.3">
      <c r="A1" s="9" t="s">
        <v>340</v>
      </c>
    </row>
    <row r="2" spans="1:2" x14ac:dyDescent="0.3">
      <c r="A2" t="s">
        <v>341</v>
      </c>
      <c r="B2" s="2">
        <f>SUM(tblSales[Sales Amount])</f>
        <v>2577875.25</v>
      </c>
    </row>
    <row r="3" spans="1:2" x14ac:dyDescent="0.3">
      <c r="A3" t="s">
        <v>342</v>
      </c>
      <c r="B3" s="2">
        <f>SUM(tblSales[Profit Amount])</f>
        <v>410078.2</v>
      </c>
    </row>
    <row r="4" spans="1:2" x14ac:dyDescent="0.3">
      <c r="A4" t="s">
        <v>343</v>
      </c>
      <c r="B4" s="3">
        <f>B3/B2</f>
        <v>0.15907604528186536</v>
      </c>
    </row>
    <row r="5" spans="1:2" x14ac:dyDescent="0.3">
      <c r="A5" t="s">
        <v>344</v>
      </c>
      <c r="B5" s="2">
        <f>COUNTA(tblSales[Order ID])</f>
        <v>150</v>
      </c>
    </row>
    <row r="6" spans="1:2" x14ac:dyDescent="0.3">
      <c r="A6" t="s">
        <v>345</v>
      </c>
      <c r="B6" s="2">
        <f>SUMPRODUCT(1/COUNTIF(tblSales[Customer ID],tblSales[Customer ID]))</f>
        <v>39.000000000000036</v>
      </c>
    </row>
    <row r="7" spans="1:2" x14ac:dyDescent="0.3">
      <c r="A7" t="s">
        <v>346</v>
      </c>
      <c r="B7" s="2">
        <f>B2/B5</f>
        <v>17185.834999999999</v>
      </c>
    </row>
    <row r="8" spans="1:2" x14ac:dyDescent="0.3">
      <c r="A8" t="s">
        <v>347</v>
      </c>
      <c r="B8" s="2">
        <f>SUM(tblSales[Quantity Sold])</f>
        <v>460</v>
      </c>
    </row>
    <row r="10" spans="1:2" x14ac:dyDescent="0.3">
      <c r="A10" s="9" t="s">
        <v>348</v>
      </c>
    </row>
    <row r="11" spans="1:2" x14ac:dyDescent="0.3">
      <c r="A11" t="s">
        <v>349</v>
      </c>
      <c r="B11" s="2">
        <f>COUNTA(tblRaw[Order ID])</f>
        <v>157</v>
      </c>
    </row>
    <row r="12" spans="1:2" x14ac:dyDescent="0.3">
      <c r="A12" t="s">
        <v>350</v>
      </c>
      <c r="B12" s="2">
        <f>COUNTA(tblSales[Order ID])</f>
        <v>150</v>
      </c>
    </row>
    <row r="13" spans="1:2" x14ac:dyDescent="0.3">
      <c r="A13" t="s">
        <v>351</v>
      </c>
      <c r="B13" s="2">
        <f>COUNTA(tblRaw[Order ID])-SUMPRODUCT(1/COUNTIF(tblRaw[Order ID],tblRaw[Order ID]))</f>
        <v>5</v>
      </c>
    </row>
    <row r="14" spans="1:2" x14ac:dyDescent="0.3">
      <c r="A14" t="s">
        <v>352</v>
      </c>
      <c r="B14" s="2">
        <f>COUNTBLANK(tblRaw[Profit Amount])</f>
        <v>16</v>
      </c>
    </row>
    <row r="15" spans="1:2" x14ac:dyDescent="0.3">
      <c r="A15" t="s">
        <v>353</v>
      </c>
      <c r="B15" s="2">
        <f>COUNTBLANK(tblRaw[Sales Representative])</f>
        <v>18</v>
      </c>
    </row>
    <row r="16" spans="1:2" x14ac:dyDescent="0.3">
      <c r="A16" t="s">
        <v>354</v>
      </c>
      <c r="B16" s="2">
        <f>COUNTBLANK(tblRaw[Delivery Status])</f>
        <v>10</v>
      </c>
    </row>
    <row r="17" spans="1:2" x14ac:dyDescent="0.3">
      <c r="A17" t="s">
        <v>355</v>
      </c>
      <c r="B17" s="2">
        <f>COUNTIF(tblRaw[Quantity Sold],"&gt;100")</f>
        <v>1</v>
      </c>
    </row>
    <row r="18" spans="1:2" x14ac:dyDescent="0.3">
      <c r="A18" t="s">
        <v>356</v>
      </c>
      <c r="B18" s="2">
        <f>COUNTIF(tblRaw[Unit Price],"&lt;=0")</f>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vt:lpstr>
      <vt:lpstr>RawData</vt:lpstr>
      <vt:lpstr>PivotData</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Atishey</dc:creator>
  <cp:lastModifiedBy>Atishey</cp:lastModifiedBy>
  <dcterms:created xsi:type="dcterms:W3CDTF">2026-06-04T23:16:00Z</dcterms:created>
  <dcterms:modified xsi:type="dcterms:W3CDTF">2026-06-04T23:16:01Z</dcterms:modified>
</cp:coreProperties>
</file>